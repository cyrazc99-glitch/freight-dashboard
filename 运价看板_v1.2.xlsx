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覆盖矩阵（待补齐线路）" sheetId="2" state="visible" r:id="rId2"/>
    <sheet xmlns:r="http://schemas.openxmlformats.org/officeDocument/2006/relationships" name="运价看板" sheetId="3" state="visible" r:id="rId3"/>
    <sheet xmlns:r="http://schemas.openxmlformats.org/officeDocument/2006/relationships" name="字段说明" sheetId="4" state="visible" r:id="rId4"/>
    <sheet xmlns:r="http://schemas.openxmlformats.org/officeDocument/2006/relationships" name="更新规则" sheetId="5" state="visible" r:id="rId5"/>
    <sheet xmlns:r="http://schemas.openxmlformats.org/officeDocument/2006/relationships" name="新增城市规范" sheetId="6" state="visible" r:id="rId6"/>
    <sheet xmlns:r="http://schemas.openxmlformats.org/officeDocument/2006/relationships" name="数据来源明细" sheetId="7" state="visible" r:id="rId7"/>
  </sheets>
  <definedNames>
    <definedName name="_xlnm._FilterDatabase" localSheetId="2" hidden="1">'运价看板'!$A$1:$AK$36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color rgb="00FFFFFF"/>
      <sz val="11"/>
    </font>
    <font>
      <b val="1"/>
      <color rgb="00FFFFFF"/>
    </font>
    <font>
      <name val="Microsoft YaHei"/>
      <b val="1"/>
      <color rgb="001F4E79"/>
      <sz val="12"/>
    </font>
    <font>
      <name val="Microsoft YaHei"/>
      <b val="1"/>
      <color rgb="00FFFFFF"/>
      <sz val="10"/>
    </font>
    <font>
      <b val="1"/>
      <color rgb="0092400E"/>
      <sz val="10"/>
    </font>
    <font>
      <b val="1"/>
      <color rgb="007A4A05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4B084"/>
      </patternFill>
    </fill>
    <fill>
      <patternFill patternType="solid">
        <fgColor rgb="00FFF4E0"/>
      </patternFill>
    </fill>
  </fills>
  <borders count="10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F59E0B"/>
      </left>
      <top style="thin">
        <color rgb="00F59E0B"/>
      </top>
      <bottom style="thin">
        <color rgb="00F59E0B"/>
      </bottom>
    </border>
    <border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2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2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top" wrapText="1"/>
    </xf>
    <xf numFmtId="0" fontId="3" fillId="5" borderId="7" applyAlignment="1" pivotButton="0" quotePrefix="0" xfId="0">
      <alignment vertical="top" wrapText="1"/>
    </xf>
    <xf numFmtId="0" fontId="3" fillId="10" borderId="7" applyAlignment="1" pivotButton="0" quotePrefix="0" xfId="0">
      <alignment vertical="top" wrapText="1"/>
    </xf>
    <xf numFmtId="0" fontId="3" fillId="7" borderId="7" applyAlignment="1" pivotButton="0" quotePrefix="0" xfId="0">
      <alignment vertical="top" wrapText="1"/>
    </xf>
    <xf numFmtId="0" fontId="3" fillId="9" borderId="7" applyAlignment="1" pivotButton="0" quotePrefix="0" xfId="0">
      <alignment vertical="top" wrapText="1"/>
    </xf>
    <xf numFmtId="0" fontId="3" fillId="8" borderId="7" applyAlignment="1" pivotButton="0" quotePrefix="0" xfId="0">
      <alignment vertical="top" wrapText="1"/>
    </xf>
    <xf numFmtId="0" fontId="2" fillId="5" borderId="7" applyAlignment="1" pivotButton="0" quotePrefix="0" xfId="0">
      <alignment vertical="top" wrapText="1"/>
    </xf>
    <xf numFmtId="0" fontId="3" fillId="6" borderId="7" applyAlignment="1" pivotButton="0" quotePrefix="0" xfId="0">
      <alignment vertical="top" wrapText="1"/>
    </xf>
    <xf numFmtId="0" fontId="2" fillId="7" borderId="7" applyAlignment="1" pivotButton="0" quotePrefix="0" xfId="0">
      <alignment vertical="top" wrapText="1"/>
    </xf>
    <xf numFmtId="0" fontId="2" fillId="8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11" borderId="8" applyAlignment="1" pivotButton="0" quotePrefix="0" xfId="0">
      <alignment vertical="center" wrapText="1"/>
    </xf>
    <xf numFmtId="0" fontId="10" fillId="11" borderId="9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8" customHeight="1">
      <c r="A1" s="1" t="inlineStr">
        <is>
          <t>运价看板 v1.2 · 使用说明</t>
        </is>
      </c>
    </row>
    <row r="2" ht="72" customHeight="1">
      <c r="A2" s="32" t="inlineStr">
        <is>
          <t>⚠ 报价条件待确认</t>
        </is>
      </c>
      <c r="B2" s="33" t="inlineStr">
        <is>
          <t>当前价格来自公开信息，多数来源未注明报价对应的条件。空运价格（USD/kg）未说明计费重量档（如 ≥100kg / ≥300kg / ≥1000kg），也未说明是否适用于超尺寸、不可堆叠的整机；海运“40尺”指数未区分 40GP 与 40HQ（仅桑托斯部分线路注明 40GP）。因此这些字段标为“待确认”，不同线路之间不宜直接比价，也不代表针对我们整机的报价。待取得货代实际报价后优化。</t>
        </is>
      </c>
    </row>
    <row r="3" ht="42" customHeight="1">
      <c r="A3" s="2" t="inlineStr">
        <is>
          <t>定位</t>
        </is>
      </c>
      <c r="B3" s="3" t="inlineStr">
        <is>
          <t>给销售谈判用的公开市场运费参考看板。所有价格均为公开市场参考，非本公司可成交价，最终以货代实报为准。</t>
        </is>
      </c>
    </row>
    <row r="4" ht="42" customHeight="1">
      <c r="A4" s="2" t="inlineStr">
        <is>
          <t>数据口径</t>
        </is>
      </c>
      <c r="B4" s="3" t="inlineStr">
        <is>
          <t>无公司历史实单、无货代双周协议价。空运参考 Freightos FAX / TAC / 货代公开牌价；海运参考 SCFI 及公开 LCL/FCL 行情。</t>
        </is>
      </c>
    </row>
    <row r="5" ht="42" customHeight="1">
      <c r="A5" s="2" t="inlineStr">
        <is>
          <t>更新频率</t>
        </is>
      </c>
      <c r="B5" s="3" t="inlineStr">
        <is>
          <t>建议每两周（双周）刷新一次；本版数据周期标注为 2026-W41（约 2026-10-06～10-12，部分空运牌价至 10-21）。</t>
        </is>
      </c>
    </row>
    <row r="6" ht="42" customHeight="1">
      <c r="A6" s="2" t="inlineStr">
        <is>
          <t>计费单位</t>
        </is>
      </c>
      <c r="B6" s="3" t="inlineStr">
        <is>
          <t>空运：USD/kg（计费重）；海运普货：USD/CBM（拼箱）；海运危货：USD/40'（整柜）。整机普货与整机危险品分行展示。</t>
        </is>
      </c>
    </row>
    <row r="7" ht="42" customHeight="1">
      <c r="A7" s="2" t="inlineStr">
        <is>
          <t>参考单价读法</t>
        </is>
      </c>
      <c r="B7" s="3" t="inlineStr">
        <is>
          <t>单元格为区间（如 4.7–6.0），表示公开市场常见参考区间，区间两端可能来自不同来源、重量档或服务范围。用于内部初步预算。对外提供金额前，核对货物条件、费用范围和有效报价。</t>
        </is>
      </c>
    </row>
    <row r="8" ht="42" customHeight="1">
      <c r="A8" s="2" t="inlineStr">
        <is>
          <t>危货溢价</t>
        </is>
      </c>
      <c r="B8" s="3" t="inlineStr">
        <is>
          <t>海运危柜在普柜 SCFI 基础上另加 Class 9/锂电池危柜附加费（市场常见约 +20%～40% 或按票加收），表中已用示意溢价估算（价格依据标为「模型估算」），实报以船司危品价目为准。空运危货/货机通常再加 30%～100%+，且瓦时超限只能货机。</t>
        </is>
      </c>
    </row>
    <row r="9" ht="42" customHeight="1">
      <c r="A9" s="2" t="inlineStr">
        <is>
          <t>末段衔接</t>
        </is>
      </c>
      <c r="B9" s="3" t="inlineStr">
        <is>
          <t>v1.2 起拆为三个独立字段：路径（直达 / 经某机场或港口中转 / 待确认）、末段方式（航空 / 卡车 / 铁路 / 无）、时效边界（机场到机场 / 港到港 / 到指定城市）。v1.1 的「直达/少中转、空卡、海卡」标签保留在「原末段衔接标签(v1.1)」列。偏线城市无直达公开价时用邻近枢纽价，并标「模型估算」。</t>
        </is>
      </c>
    </row>
    <row r="10" ht="42" customHeight="1">
      <c r="A10" s="2" t="inlineStr">
        <is>
          <t>销售怎么用</t>
        </is>
      </c>
      <c r="B10" s="3" t="inlineStr">
        <is>
          <t>1）按目的城市+运输方式筛行；2）用参考单价×预估计费重/CBM/柜型做粗算；3）加目的港杂费、清关、保险（表内一般不含）；4）谈判时注明「公开参考非承诺价」。</t>
        </is>
      </c>
    </row>
    <row r="11" ht="42" customHeight="1">
      <c r="A11" s="2" t="inlineStr">
        <is>
          <t>待询价含义</t>
        </is>
      </c>
      <c r="B11" s="3" t="inlineStr">
        <is>
          <t>若某线路没有任何公开数据，参考单价标「待询价」，勿编造；可参考邻近枢纽行，但须标「模型估算」并写明方法，并尽快找货代询价。</t>
        </is>
      </c>
    </row>
    <row r="12" ht="42" customHeight="1">
      <c r="A12" s="2" t="inlineStr">
        <is>
          <t>不含内容</t>
        </is>
      </c>
      <c r="B12" s="3" t="inlineStr">
        <is>
          <t>起运地拖车/报关、目的港 THC/拆箱、关税增值税、保险、仓储、ATA 办证费、危品鉴定/包装改装费用等。</t>
        </is>
      </c>
    </row>
    <row r="13" ht="42" customHeight="1">
      <c r="A13" s="2" t="inlineStr">
        <is>
          <t>巴西内陆</t>
        </is>
      </c>
      <c r="B13" s="3" t="inlineStr">
        <is>
          <t>圣保罗按 GRU（空运）/Santos（海运）；巴西利亚为内陆城市：海运主段仅为 Santos 港到港，内陆段（含危货运输资质）单列，无公开价标「待询价」；空运经 GRU/VCP 转运，转运段为估算。清关地选择另计，须向货代实询。</t>
        </is>
      </c>
    </row>
    <row r="14" ht="42" customHeight="1">
      <c r="A14" s="2" t="inlineStr">
        <is>
          <t>维护人</t>
        </is>
      </c>
      <c r="B14" s="3" t="inlineStr">
        <is>
          <t>商务侧关务/物流；按「新增城市规范」加行；有公开新价时只更新该行的参考单价、数据周期、数据来源。</t>
        </is>
      </c>
    </row>
    <row r="16" ht="55" customHeight="1">
      <c r="A16" s="2" t="inlineStr">
        <is>
          <t>数据周期</t>
        </is>
      </c>
      <c r="B16" s="3" t="inlineStr">
        <is>
          <t>数据周期 2026-W41（每两周更新）。v1.2 只调整字段结构和标注，未新增任何价格数字或来源；各行单独标注来源发布日期、采集日期和报价有效期。</t>
        </is>
      </c>
    </row>
    <row r="17">
      <c r="A17" s="2" t="inlineStr">
        <is>
          <t>价格依据（四类）</t>
        </is>
      </c>
      <c r="B17" s="3" t="inlineStr">
        <is>
          <t>公开报价：该线路本身有公开牌价；区域指数：区域/航线级指数或公开区域行情，非该城市单独报价；模型估算：在公开数据上叠加危柜溢价、邻近枢纽、转运段推算，估算方法见「估算方法」列；待询价：无公开数据。同一行混用多种来源时，按较弱的一类标注。</t>
        </is>
      </c>
    </row>
    <row r="18">
      <c r="A18" s="2" t="inlineStr">
        <is>
          <t>主段/内陆段/全程</t>
        </is>
      </c>
      <c r="B18" s="3" t="inlineStr">
        <is>
          <t>价格与时效必须对应同一范围：主段（机场到机场或港到港）；内陆/末段（费用、时效，缺数据标「待核实/待询价」）；全程仅在主段与末段均有数据，或目的地即口岸时才显示。</t>
        </is>
      </c>
    </row>
    <row r="19">
      <c r="A19" s="2" t="inlineStr">
        <is>
          <t>计费重档与柜型</t>
        </is>
      </c>
      <c r="B19" s="3" t="inlineStr">
        <is>
          <t>空运标注价格对应的计费重档（如 &gt;100kg、100–300kg、≥1000kg）及是否适用超尺寸/不可堆叠整机；海运整柜标 40GP 或 40HQ；来源未说明的标「待确认」。</t>
        </is>
      </c>
    </row>
    <row r="20">
      <c r="A20" s="2" t="inlineStr">
        <is>
          <t>记录类型与有效状态</t>
        </is>
      </c>
      <c r="B20" s="3" t="inlineStr">
        <is>
          <t>当期行情：本周期内的指数/牌价；背景参考：年度或未标日期的行业文章，不代表本期运价；已过期：报价有效期已过，或采集日超过两个更新周期（28 天）未更新。过期数据保留历史，并明确标示。</t>
        </is>
      </c>
    </row>
    <row r="21">
      <c r="A21" s="4" t="inlineStr">
        <is>
          <t>重要声明</t>
        </is>
      </c>
      <c r="B21" s="5" t="inlineStr">
        <is>
          <t>本表价格全部为公开市场参考（公开指数/公开牌价推算），不是承运人或货代对贵司的报价，不能作为合同运价或承诺时效。淡旺季、船司/航司、危品等级会导致大幅波动。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</cols>
  <sheetData>
    <row r="1">
      <c r="A1" s="20" t="inlineStr">
        <is>
          <t>目的市场</t>
        </is>
      </c>
      <c r="B1" s="20" t="inlineStr">
        <is>
          <t>大区</t>
        </is>
      </c>
      <c r="C1" s="20" t="inlineStr">
        <is>
          <t>空运·普货</t>
        </is>
      </c>
      <c r="D1" s="20" t="inlineStr">
        <is>
          <t>空运·危险品</t>
        </is>
      </c>
      <c r="E1" s="20" t="inlineStr">
        <is>
          <t>海运·普货</t>
        </is>
      </c>
      <c r="F1" s="20" t="inlineStr">
        <is>
          <t>海运·危险品</t>
        </is>
      </c>
      <c r="G1" s="20" t="inlineStr">
        <is>
          <t>已有线路起运地</t>
        </is>
      </c>
    </row>
    <row r="2">
      <c r="A2" s="21" t="inlineStr">
        <is>
          <t>马赛</t>
        </is>
      </c>
      <c r="B2" s="21" t="inlineStr">
        <is>
          <t>欧洲</t>
        </is>
      </c>
      <c r="C2" s="22" t="inlineStr">
        <is>
          <t>区域指数（上海）</t>
        </is>
      </c>
      <c r="D2" s="23" t="inlineStr">
        <is>
          <t>待确认承运</t>
        </is>
      </c>
      <c r="E2" s="22" t="inlineStr">
        <is>
          <t>区域指数（上海）</t>
        </is>
      </c>
      <c r="F2" s="24" t="inlineStr">
        <is>
          <t>模型估算（上海）</t>
        </is>
      </c>
      <c r="G2" s="21" t="inlineStr">
        <is>
          <t>上海</t>
        </is>
      </c>
    </row>
    <row r="3">
      <c r="A3" s="21" t="inlineStr">
        <is>
          <t>波尔多</t>
        </is>
      </c>
      <c r="B3" s="21" t="inlineStr">
        <is>
          <t>欧洲</t>
        </is>
      </c>
      <c r="C3" s="24" t="inlineStr">
        <is>
          <t>模型估算（上海）</t>
        </is>
      </c>
      <c r="D3" s="23" t="inlineStr">
        <is>
          <t>待确认承运</t>
        </is>
      </c>
      <c r="E3" s="25" t="inlineStr">
        <is>
          <t>待询价</t>
        </is>
      </c>
      <c r="F3" s="25" t="inlineStr">
        <is>
          <t>待询价</t>
        </is>
      </c>
      <c r="G3" s="21" t="inlineStr">
        <is>
          <t>上海</t>
        </is>
      </c>
    </row>
    <row r="4">
      <c r="A4" s="21" t="inlineStr">
        <is>
          <t>意大利</t>
        </is>
      </c>
      <c r="B4" s="21" t="inlineStr">
        <is>
          <t>欧洲</t>
        </is>
      </c>
      <c r="C4" s="22" t="inlineStr">
        <is>
          <t>区域指数（上海）</t>
        </is>
      </c>
      <c r="D4" s="23" t="inlineStr">
        <is>
          <t>待确认承运</t>
        </is>
      </c>
      <c r="E4" s="22" t="inlineStr">
        <is>
          <t>区域指数（上海）</t>
        </is>
      </c>
      <c r="F4" s="25" t="inlineStr">
        <is>
          <t>待询价</t>
        </is>
      </c>
      <c r="G4" s="21" t="inlineStr">
        <is>
          <t>上海</t>
        </is>
      </c>
    </row>
    <row r="5">
      <c r="A5" s="21" t="inlineStr">
        <is>
          <t>比利时</t>
        </is>
      </c>
      <c r="B5" s="21" t="inlineStr">
        <is>
          <t>欧洲</t>
        </is>
      </c>
      <c r="C5" s="25" t="inlineStr">
        <is>
          <t>待询价</t>
        </is>
      </c>
      <c r="D5" s="23" t="inlineStr">
        <is>
          <t>待确认承运</t>
        </is>
      </c>
      <c r="E5" s="22" t="inlineStr">
        <is>
          <t>区域指数（宁波）</t>
        </is>
      </c>
      <c r="F5" s="24" t="inlineStr">
        <is>
          <t>模型估算（上海）</t>
        </is>
      </c>
      <c r="G5" s="21" t="inlineStr">
        <is>
          <t>上海、宁波</t>
        </is>
      </c>
    </row>
    <row r="6">
      <c r="A6" s="21" t="inlineStr">
        <is>
          <t>波兰</t>
        </is>
      </c>
      <c r="B6" s="21" t="inlineStr">
        <is>
          <t>欧洲</t>
        </is>
      </c>
      <c r="C6" s="24" t="inlineStr">
        <is>
          <t>模型估算（上海）</t>
        </is>
      </c>
      <c r="D6" s="23" t="inlineStr">
        <is>
          <t>待确认承运</t>
        </is>
      </c>
      <c r="E6" s="25" t="inlineStr">
        <is>
          <t>待询价</t>
        </is>
      </c>
      <c r="F6" s="25" t="inlineStr">
        <is>
          <t>待询价</t>
        </is>
      </c>
      <c r="G6" s="21" t="inlineStr">
        <is>
          <t>上海</t>
        </is>
      </c>
    </row>
    <row r="7">
      <c r="A7" s="21" t="inlineStr">
        <is>
          <t>黑山</t>
        </is>
      </c>
      <c r="B7" s="21" t="inlineStr">
        <is>
          <t>欧洲</t>
        </is>
      </c>
      <c r="C7" s="24" t="inlineStr">
        <is>
          <t>模型估算（上海）</t>
        </is>
      </c>
      <c r="D7" s="23" t="inlineStr">
        <is>
          <t>待确认承运</t>
        </is>
      </c>
      <c r="E7" s="25" t="inlineStr">
        <is>
          <t>待询价</t>
        </is>
      </c>
      <c r="F7" s="25" t="inlineStr">
        <is>
          <t>待询价</t>
        </is>
      </c>
      <c r="G7" s="21" t="inlineStr">
        <is>
          <t>上海</t>
        </is>
      </c>
    </row>
    <row r="8">
      <c r="A8" s="21" t="inlineStr">
        <is>
          <t>波黑</t>
        </is>
      </c>
      <c r="B8" s="21" t="inlineStr">
        <is>
          <t>欧洲</t>
        </is>
      </c>
      <c r="C8" s="24" t="inlineStr">
        <is>
          <t>模型估算（上海）</t>
        </is>
      </c>
      <c r="D8" s="23" t="inlineStr">
        <is>
          <t>待确认承运</t>
        </is>
      </c>
      <c r="E8" s="25" t="inlineStr">
        <is>
          <t>待询价</t>
        </is>
      </c>
      <c r="F8" s="25" t="inlineStr">
        <is>
          <t>待询价</t>
        </is>
      </c>
      <c r="G8" s="21" t="inlineStr">
        <is>
          <t>上海</t>
        </is>
      </c>
    </row>
    <row r="9">
      <c r="A9" s="21" t="inlineStr">
        <is>
          <t>马尼拉</t>
        </is>
      </c>
      <c r="B9" s="21" t="inlineStr">
        <is>
          <t>亚太</t>
        </is>
      </c>
      <c r="C9" s="22" t="inlineStr">
        <is>
          <t>区域指数（深圳）</t>
        </is>
      </c>
      <c r="D9" s="23" t="inlineStr">
        <is>
          <t>待确认承运</t>
        </is>
      </c>
      <c r="E9" s="25" t="inlineStr">
        <is>
          <t>待询价</t>
        </is>
      </c>
      <c r="F9" s="25" t="inlineStr">
        <is>
          <t>待询价</t>
        </is>
      </c>
      <c r="G9" s="21" t="inlineStr">
        <is>
          <t>深圳</t>
        </is>
      </c>
    </row>
    <row r="10">
      <c r="A10" s="21" t="inlineStr">
        <is>
          <t>雅加达</t>
        </is>
      </c>
      <c r="B10" s="21" t="inlineStr">
        <is>
          <t>亚太</t>
        </is>
      </c>
      <c r="C10" s="25" t="inlineStr">
        <is>
          <t>待询价</t>
        </is>
      </c>
      <c r="D10" s="23" t="inlineStr">
        <is>
          <t>待确认承运</t>
        </is>
      </c>
      <c r="E10" s="22" t="inlineStr">
        <is>
          <t>区域指数（上海）</t>
        </is>
      </c>
      <c r="F10" s="24" t="inlineStr">
        <is>
          <t>模型估算（上海）</t>
        </is>
      </c>
      <c r="G10" s="21" t="inlineStr">
        <is>
          <t>上海</t>
        </is>
      </c>
    </row>
    <row r="11">
      <c r="A11" s="21" t="inlineStr">
        <is>
          <t>曼谷</t>
        </is>
      </c>
      <c r="B11" s="21" t="inlineStr">
        <is>
          <t>亚太</t>
        </is>
      </c>
      <c r="C11" s="22" t="inlineStr">
        <is>
          <t>区域指数（深圳）</t>
        </is>
      </c>
      <c r="D11" s="23" t="inlineStr">
        <is>
          <t>待确认承运</t>
        </is>
      </c>
      <c r="E11" s="25" t="inlineStr">
        <is>
          <t>待询价</t>
        </is>
      </c>
      <c r="F11" s="25" t="inlineStr">
        <is>
          <t>待询价</t>
        </is>
      </c>
      <c r="G11" s="21" t="inlineStr">
        <is>
          <t>深圳</t>
        </is>
      </c>
    </row>
    <row r="12">
      <c r="A12" s="21" t="inlineStr">
        <is>
          <t>吉隆坡</t>
        </is>
      </c>
      <c r="B12" s="21" t="inlineStr">
        <is>
          <t>亚太</t>
        </is>
      </c>
      <c r="C12" s="22" t="inlineStr">
        <is>
          <t>区域指数（深圳）</t>
        </is>
      </c>
      <c r="D12" s="23" t="inlineStr">
        <is>
          <t>待确认承运</t>
        </is>
      </c>
      <c r="E12" s="25" t="inlineStr">
        <is>
          <t>待询价</t>
        </is>
      </c>
      <c r="F12" s="25" t="inlineStr">
        <is>
          <t>待询价</t>
        </is>
      </c>
      <c r="G12" s="21" t="inlineStr">
        <is>
          <t>深圳</t>
        </is>
      </c>
    </row>
    <row r="13">
      <c r="A13" s="21" t="inlineStr">
        <is>
          <t>胡志明</t>
        </is>
      </c>
      <c r="B13" s="21" t="inlineStr">
        <is>
          <t>亚太</t>
        </is>
      </c>
      <c r="C13" s="25" t="inlineStr">
        <is>
          <t>待询价</t>
        </is>
      </c>
      <c r="D13" s="23" t="inlineStr">
        <is>
          <t>待确认承运</t>
        </is>
      </c>
      <c r="E13" s="22" t="inlineStr">
        <is>
          <t>区域指数（深圳）</t>
        </is>
      </c>
      <c r="F13" s="24" t="inlineStr">
        <is>
          <t>模型估算（深圳）</t>
        </is>
      </c>
      <c r="G13" s="21" t="inlineStr">
        <is>
          <t>深圳</t>
        </is>
      </c>
    </row>
    <row r="14">
      <c r="A14" s="21" t="inlineStr">
        <is>
          <t>布宜诺斯艾利斯</t>
        </is>
      </c>
      <c r="B14" s="21" t="inlineStr">
        <is>
          <t>拉美</t>
        </is>
      </c>
      <c r="C14" s="22" t="inlineStr">
        <is>
          <t>区域指数（上海）</t>
        </is>
      </c>
      <c r="D14" s="23" t="inlineStr">
        <is>
          <t>待确认承运</t>
        </is>
      </c>
      <c r="E14" s="25" t="inlineStr">
        <is>
          <t>待询价</t>
        </is>
      </c>
      <c r="F14" s="25" t="inlineStr">
        <is>
          <t>待询价</t>
        </is>
      </c>
      <c r="G14" s="21" t="inlineStr">
        <is>
          <t>上海</t>
        </is>
      </c>
    </row>
    <row r="15">
      <c r="A15" s="21" t="inlineStr">
        <is>
          <t>智利</t>
        </is>
      </c>
      <c r="B15" s="21" t="inlineStr">
        <is>
          <t>拉美</t>
        </is>
      </c>
      <c r="C15" s="25" t="inlineStr">
        <is>
          <t>待询价</t>
        </is>
      </c>
      <c r="D15" s="23" t="inlineStr">
        <is>
          <t>待确认承运</t>
        </is>
      </c>
      <c r="E15" s="24" t="inlineStr">
        <is>
          <t>模型估算（上海）</t>
        </is>
      </c>
      <c r="F15" s="24" t="inlineStr">
        <is>
          <t>模型估算（上海）</t>
        </is>
      </c>
      <c r="G15" s="21" t="inlineStr">
        <is>
          <t>上海</t>
        </is>
      </c>
    </row>
    <row r="16">
      <c r="A16" s="21" t="inlineStr">
        <is>
          <t>圣保罗</t>
        </is>
      </c>
      <c r="B16" s="21" t="inlineStr">
        <is>
          <t>拉美</t>
        </is>
      </c>
      <c r="C16" s="26" t="inlineStr">
        <is>
          <t>公开报价（上海）</t>
        </is>
      </c>
      <c r="D16" s="23" t="inlineStr">
        <is>
          <t>待确认承运</t>
        </is>
      </c>
      <c r="E16" s="26" t="inlineStr">
        <is>
          <t>公开报价（上海）</t>
        </is>
      </c>
      <c r="F16" s="24" t="inlineStr">
        <is>
          <t>模型估算（上海）</t>
        </is>
      </c>
      <c r="G16" s="21" t="inlineStr">
        <is>
          <t>上海</t>
        </is>
      </c>
    </row>
    <row r="17">
      <c r="A17" s="21" t="inlineStr">
        <is>
          <t>巴西利亚</t>
        </is>
      </c>
      <c r="B17" s="21" t="inlineStr">
        <is>
          <t>拉美</t>
        </is>
      </c>
      <c r="C17" s="24" t="inlineStr">
        <is>
          <t>模型估算（上海）</t>
        </is>
      </c>
      <c r="D17" s="23" t="inlineStr">
        <is>
          <t>待确认承运</t>
        </is>
      </c>
      <c r="E17" s="26" t="inlineStr">
        <is>
          <t>公开报价（上海）</t>
        </is>
      </c>
      <c r="F17" s="24" t="inlineStr">
        <is>
          <t>模型估算（上海）</t>
        </is>
      </c>
      <c r="G17" s="21" t="inlineStr">
        <is>
          <t>上海</t>
        </is>
      </c>
    </row>
    <row r="18">
      <c r="A18" s="21" t="inlineStr">
        <is>
          <t>突尼斯</t>
        </is>
      </c>
      <c r="B18" s="21" t="inlineStr">
        <is>
          <t>中东非</t>
        </is>
      </c>
      <c r="C18" s="24" t="inlineStr">
        <is>
          <t>模型估算（上海）</t>
        </is>
      </c>
      <c r="D18" s="24" t="inlineStr">
        <is>
          <t>模型估算（上海）</t>
        </is>
      </c>
      <c r="E18" s="25" t="inlineStr">
        <is>
          <t>待询价</t>
        </is>
      </c>
      <c r="F18" s="25" t="inlineStr">
        <is>
          <t>待询价</t>
        </is>
      </c>
      <c r="G18" s="21" t="inlineStr">
        <is>
          <t>上海</t>
        </is>
      </c>
    </row>
    <row r="19">
      <c r="A19" s="21" t="inlineStr">
        <is>
          <t>摩洛哥</t>
        </is>
      </c>
      <c r="B19" s="21" t="inlineStr">
        <is>
          <t>中东非</t>
        </is>
      </c>
      <c r="C19" s="22" t="inlineStr">
        <is>
          <t>区域指数（上海）</t>
        </is>
      </c>
      <c r="D19" s="23" t="inlineStr">
        <is>
          <t>待确认承运</t>
        </is>
      </c>
      <c r="E19" s="25" t="inlineStr">
        <is>
          <t>待询价</t>
        </is>
      </c>
      <c r="F19" s="25" t="inlineStr">
        <is>
          <t>待询价</t>
        </is>
      </c>
      <c r="G19" s="21" t="inlineStr">
        <is>
          <t>上海</t>
        </is>
      </c>
    </row>
    <row r="20">
      <c r="A20" s="21" t="inlineStr">
        <is>
          <t>迪拜</t>
        </is>
      </c>
      <c r="B20" s="21" t="inlineStr">
        <is>
          <t>中东非</t>
        </is>
      </c>
      <c r="C20" s="22" t="inlineStr">
        <is>
          <t>区域指数（上海）</t>
        </is>
      </c>
      <c r="D20" s="23" t="inlineStr">
        <is>
          <t>待确认承运</t>
        </is>
      </c>
      <c r="E20" s="25" t="inlineStr">
        <is>
          <t>待询价</t>
        </is>
      </c>
      <c r="F20" s="25" t="inlineStr">
        <is>
          <t>待询价</t>
        </is>
      </c>
      <c r="G20" s="21" t="inlineStr">
        <is>
          <t>上海</t>
        </is>
      </c>
    </row>
    <row r="21">
      <c r="A21" s="21" t="inlineStr">
        <is>
          <t>利雅得</t>
        </is>
      </c>
      <c r="B21" s="21" t="inlineStr">
        <is>
          <t>中东非</t>
        </is>
      </c>
      <c r="C21" s="22" t="inlineStr">
        <is>
          <t>区域指数（深圳）</t>
        </is>
      </c>
      <c r="D21" s="23" t="inlineStr">
        <is>
          <t>待确认承运</t>
        </is>
      </c>
      <c r="E21" s="25" t="inlineStr">
        <is>
          <t>待询价</t>
        </is>
      </c>
      <c r="F21" s="25" t="inlineStr">
        <is>
          <t>待询价</t>
        </is>
      </c>
      <c r="G21" s="21" t="inlineStr">
        <is>
          <t>深圳</t>
        </is>
      </c>
    </row>
    <row r="22">
      <c r="A22" s="21" t="inlineStr">
        <is>
          <t>莫斯科</t>
        </is>
      </c>
      <c r="B22" s="21" t="inlineStr">
        <is>
          <t>独联体</t>
        </is>
      </c>
      <c r="C22" s="24" t="inlineStr">
        <is>
          <t>模型估算（郑州）</t>
        </is>
      </c>
      <c r="D22" s="23" t="inlineStr">
        <is>
          <t>待确认承运</t>
        </is>
      </c>
      <c r="E22" s="25" t="inlineStr">
        <is>
          <t>待询价</t>
        </is>
      </c>
      <c r="F22" s="25" t="inlineStr">
        <is>
          <t>待询价</t>
        </is>
      </c>
      <c r="G22" s="21" t="inlineStr">
        <is>
          <t>郑州</t>
        </is>
      </c>
    </row>
    <row r="23">
      <c r="A23" s="21" t="inlineStr">
        <is>
          <t>阿斯塔纳</t>
        </is>
      </c>
      <c r="B23" s="21" t="inlineStr">
        <is>
          <t>独联体</t>
        </is>
      </c>
      <c r="C23" s="24" t="inlineStr">
        <is>
          <t>模型估算（上海）</t>
        </is>
      </c>
      <c r="D23" s="23" t="inlineStr">
        <is>
          <t>待确认承运</t>
        </is>
      </c>
      <c r="E23" s="25" t="inlineStr">
        <is>
          <t>待询价</t>
        </is>
      </c>
      <c r="F23" s="25" t="inlineStr">
        <is>
          <t>待询价</t>
        </is>
      </c>
      <c r="G23" s="21" t="inlineStr">
        <is>
          <t>上海</t>
        </is>
      </c>
    </row>
    <row r="24">
      <c r="A24" s="21" t="inlineStr">
        <is>
          <t>比什凯克</t>
        </is>
      </c>
      <c r="B24" s="21" t="inlineStr">
        <is>
          <t>独联体</t>
        </is>
      </c>
      <c r="C24" s="24" t="inlineStr">
        <is>
          <t>模型估算（上海）</t>
        </is>
      </c>
      <c r="D24" s="23" t="inlineStr">
        <is>
          <t>待确认承运</t>
        </is>
      </c>
      <c r="E24" s="25" t="inlineStr">
        <is>
          <t>待询价</t>
        </is>
      </c>
      <c r="F24" s="25" t="inlineStr">
        <is>
          <t>待询价</t>
        </is>
      </c>
      <c r="G24" s="21" t="inlineStr">
        <is>
          <t>上海</t>
        </is>
      </c>
    </row>
    <row r="26">
      <c r="A26" s="2" t="inlineStr">
        <is>
          <t>图例</t>
        </is>
      </c>
    </row>
    <row r="27">
      <c r="A27" s="18" t="inlineStr">
        <is>
          <t>公开报价：该线路本身有公开牌价/报价页（见数据来源）</t>
        </is>
      </c>
    </row>
    <row r="28">
      <c r="A28" s="18" t="inlineStr">
        <is>
          <t>区域指数：来自区域/航线级指数或公开区域行情区间，非该城市单独报价</t>
        </is>
      </c>
    </row>
    <row r="29">
      <c r="A29" s="18" t="inlineStr">
        <is>
          <t>模型估算：在公开数据上叠加危柜溢价、邻近枢纽、转运段或枢纽溢价推算，须视为估算</t>
        </is>
      </c>
    </row>
    <row r="30">
      <c r="A30" s="18" t="inlineStr">
        <is>
          <t>待询价：暂无任何公开数据，需向货代实询</t>
        </is>
      </c>
    </row>
    <row r="31">
      <c r="A31" s="18" t="inlineStr">
        <is>
          <t>待确认承运：空运危险品且无公开数据，须先确认承运人/货机是否接受</t>
        </is>
      </c>
    </row>
    <row r="32">
      <c r="A32" s="18" t="inlineStr">
        <is>
          <t>本表按全部起运地汇总（括号内为已有线路的起运地）；网页覆盖矩阵可按起运地筛选。同一格有多个起运地时取依据最强者。</t>
        </is>
      </c>
    </row>
    <row r="33">
      <c r="A33" s="18" t="inlineStr">
        <is>
          <t>巴西利亚海运的内陆段另列「待询价」（见看板主表）。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6" customWidth="1" min="5" max="5"/>
    <col width="8" customWidth="1" min="6" max="6"/>
    <col width="10" customWidth="1" min="7" max="7"/>
    <col width="10" customWidth="1" min="8" max="8"/>
    <col width="16" customWidth="1" min="9" max="9"/>
    <col width="6" customWidth="1" min="10" max="10"/>
    <col width="10" customWidth="1" min="11" max="11"/>
    <col width="44" customWidth="1" min="12" max="12"/>
    <col width="22" customWidth="1" min="13" max="13"/>
    <col width="26" customWidth="1" min="14" max="14"/>
    <col width="34" customWidth="1" min="15" max="15"/>
    <col width="26" customWidth="1" min="16" max="16"/>
    <col width="10" customWidth="1" min="17" max="17"/>
    <col width="22" customWidth="1" min="18" max="18"/>
    <col width="26" customWidth="1" min="19" max="19"/>
    <col width="10" customWidth="1" min="20" max="20"/>
    <col width="10" customWidth="1" min="21" max="21"/>
    <col width="30" customWidth="1" min="22" max="22"/>
    <col width="12" customWidth="1" min="23" max="23"/>
    <col width="12" customWidth="1" min="24" max="24"/>
    <col width="34" customWidth="1" min="25" max="25"/>
    <col width="16" customWidth="1" min="26" max="26"/>
    <col width="10" customWidth="1" min="27" max="27"/>
    <col width="34" customWidth="1" min="28" max="28"/>
    <col width="12" customWidth="1" min="29" max="29"/>
    <col width="26" customWidth="1" min="30" max="30"/>
    <col width="12" customWidth="1" min="31" max="31"/>
    <col width="16" customWidth="1" min="32" max="32"/>
    <col width="10" customWidth="1" min="33" max="33"/>
    <col width="42" customWidth="1" min="34" max="34"/>
    <col width="14" customWidth="1" min="35" max="35"/>
    <col width="44" customWidth="1" min="36" max="36"/>
    <col width="12" customWidth="1" min="37" max="37"/>
  </cols>
  <sheetData>
    <row r="1" ht="34" customHeight="1">
      <c r="A1" s="20" t="inlineStr">
        <is>
          <t>大区</t>
        </is>
      </c>
      <c r="B1" s="20" t="inlineStr">
        <is>
          <t>起运地</t>
        </is>
      </c>
      <c r="C1" s="20" t="inlineStr">
        <is>
          <t>起运类型</t>
        </is>
      </c>
      <c r="D1" s="20" t="inlineStr">
        <is>
          <t>目的城市</t>
        </is>
      </c>
      <c r="E1" s="20" t="inlineStr">
        <is>
          <t>对应口岸/机场</t>
        </is>
      </c>
      <c r="F1" s="20" t="inlineStr">
        <is>
          <t>运输方式</t>
        </is>
      </c>
      <c r="G1" s="20" t="inlineStr">
        <is>
          <t>货型</t>
        </is>
      </c>
      <c r="H1" s="20" t="inlineStr">
        <is>
          <t>计费单位</t>
        </is>
      </c>
      <c r="I1" s="20" t="inlineStr">
        <is>
          <t>参考单价</t>
        </is>
      </c>
      <c r="J1" s="20" t="inlineStr">
        <is>
          <t>币种</t>
        </is>
      </c>
      <c r="K1" s="20" t="inlineStr">
        <is>
          <t>价格依据</t>
        </is>
      </c>
      <c r="L1" s="20" t="inlineStr">
        <is>
          <t>估算方法</t>
        </is>
      </c>
      <c r="M1" s="20" t="inlineStr">
        <is>
          <t>价格范围</t>
        </is>
      </c>
      <c r="N1" s="20" t="inlineStr">
        <is>
          <t>计费重档</t>
        </is>
      </c>
      <c r="O1" s="20" t="inlineStr">
        <is>
          <t>柜型</t>
        </is>
      </c>
      <c r="P1" s="20" t="inlineStr">
        <is>
          <t>超尺寸/不可堆叠整机适用</t>
        </is>
      </c>
      <c r="Q1" s="20" t="inlineStr">
        <is>
          <t>主段时效(天)</t>
        </is>
      </c>
      <c r="R1" s="20" t="inlineStr">
        <is>
          <t>时效边界</t>
        </is>
      </c>
      <c r="S1" s="20" t="inlineStr">
        <is>
          <t>路径</t>
        </is>
      </c>
      <c r="T1" s="20" t="inlineStr">
        <is>
          <t>中转点</t>
        </is>
      </c>
      <c r="U1" s="20" t="inlineStr">
        <is>
          <t>末段方式</t>
        </is>
      </c>
      <c r="V1" s="20" t="inlineStr">
        <is>
          <t>内陆/末段费用</t>
        </is>
      </c>
      <c r="W1" s="20" t="inlineStr">
        <is>
          <t>内陆/末段费用依据</t>
        </is>
      </c>
      <c r="X1" s="20" t="inlineStr">
        <is>
          <t>内陆/末段时效</t>
        </is>
      </c>
      <c r="Y1" s="20" t="inlineStr">
        <is>
          <t>全程(主段+内陆段)</t>
        </is>
      </c>
      <c r="Z1" s="20" t="inlineStr">
        <is>
          <t>原末段衔接标签(v1.1)</t>
        </is>
      </c>
      <c r="AA1" s="20" t="inlineStr">
        <is>
          <t>记录类型</t>
        </is>
      </c>
      <c r="AB1" s="20" t="inlineStr">
        <is>
          <t>来源发布日期</t>
        </is>
      </c>
      <c r="AC1" s="20" t="inlineStr">
        <is>
          <t>采集日期</t>
        </is>
      </c>
      <c r="AD1" s="20" t="inlineStr">
        <is>
          <t>报价有效期</t>
        </is>
      </c>
      <c r="AE1" s="20" t="inlineStr">
        <is>
          <t>有效期到期日</t>
        </is>
      </c>
      <c r="AF1" s="20" t="inlineStr">
        <is>
          <t>有效状态(截至2026-10-15)</t>
        </is>
      </c>
      <c r="AG1" s="20" t="inlineStr">
        <is>
          <t>数据周期</t>
        </is>
      </c>
      <c r="AH1" s="20" t="inlineStr">
        <is>
          <t>数据来源</t>
        </is>
      </c>
      <c r="AI1" s="20" t="inlineStr">
        <is>
          <t>淡旺季备注</t>
        </is>
      </c>
      <c r="AJ1" s="20" t="inlineStr">
        <is>
          <t>销售使用说明</t>
        </is>
      </c>
      <c r="AK1" s="20" t="inlineStr">
        <is>
          <t>v1.1原时效(天,口径未拆分)</t>
        </is>
      </c>
    </row>
    <row r="2">
      <c r="A2" s="21" t="inlineStr">
        <is>
          <t>欧洲</t>
        </is>
      </c>
      <c r="B2" s="21" t="inlineStr">
        <is>
          <t>上海</t>
        </is>
      </c>
      <c r="C2" s="21" t="inlineStr">
        <is>
          <t>机场</t>
        </is>
      </c>
      <c r="D2" s="21" t="inlineStr">
        <is>
          <t>马赛</t>
        </is>
      </c>
      <c r="E2" s="21" t="inlineStr">
        <is>
          <t>MRS</t>
        </is>
      </c>
      <c r="F2" s="21" t="inlineStr">
        <is>
          <t>空运</t>
        </is>
      </c>
      <c r="G2" s="21" t="inlineStr">
        <is>
          <t>整机普货</t>
        </is>
      </c>
      <c r="H2" s="21" t="inlineStr">
        <is>
          <t>USD/kg</t>
        </is>
      </c>
      <c r="I2" s="21" t="inlineStr">
        <is>
          <t>4.7–6.0</t>
        </is>
      </c>
      <c r="J2" s="21" t="inlineStr">
        <is>
          <t>USD</t>
        </is>
      </c>
      <c r="K2" s="27" t="inlineStr">
        <is>
          <t>区域指数</t>
        </is>
      </c>
      <c r="L2" s="21" t="inlineStr"/>
      <c r="M2" s="21" t="inlineStr">
        <is>
          <t>机场到机场</t>
        </is>
      </c>
      <c r="N2" s="21" t="inlineStr">
        <is>
          <t>Seabay 牌价对应 100–1000kg；FAX 指数不分重量档</t>
        </is>
      </c>
      <c r="O2" s="21" t="inlineStr">
        <is>
          <t>不适用（空运）</t>
        </is>
      </c>
      <c r="P2" s="21" t="inlineStr">
        <is>
          <t>待确认（来源未说明是否适用超尺寸/不可堆叠整机）</t>
        </is>
      </c>
      <c r="Q2" s="21" t="inlineStr">
        <is>
          <t>5-8</t>
        </is>
      </c>
      <c r="R2" s="21" t="inlineStr">
        <is>
          <t>机场到机场（v1.1 口径推定）</t>
        </is>
      </c>
      <c r="S2" s="21" t="inlineStr">
        <is>
          <t>经CDG/AMS或欧陆枢纽中转（v1.1备注，班次待确认）</t>
        </is>
      </c>
      <c r="T2" s="21" t="inlineStr">
        <is>
          <t>无</t>
        </is>
      </c>
      <c r="U2" s="21" t="inlineStr">
        <is>
          <t>无</t>
        </is>
      </c>
      <c r="V2" s="21" t="inlineStr">
        <is>
          <t>不适用（目的机场即口岸）</t>
        </is>
      </c>
      <c r="W2" s="21" t="inlineStr"/>
      <c r="X2" s="21" t="inlineStr">
        <is>
          <t>不适用</t>
        </is>
      </c>
      <c r="Y2" s="21">
        <f> 主段（USD/kg 4.7–6.0；5-8 天）；目的口岸即目的地</f>
        <v/>
      </c>
      <c r="Z2" s="21" t="inlineStr">
        <is>
          <t>直达/少中转</t>
        </is>
      </c>
      <c r="AA2" s="21" t="inlineStr">
        <is>
          <t>当期行情</t>
        </is>
      </c>
      <c r="AB2" s="21" t="inlineStr">
        <is>
          <t>Seabay 2026-10-10；FAX 当期页面（发布日待核实）</t>
        </is>
      </c>
      <c r="AC2" s="21" t="inlineStr">
        <is>
          <t>2026-10-15</t>
        </is>
      </c>
      <c r="AD2" s="21" t="inlineStr">
        <is>
          <t>Seabay 牌价到期日待核实；FAX 为指数无有效期</t>
        </is>
      </c>
      <c r="AE2" s="21" t="inlineStr"/>
      <c r="AF2" s="21" t="inlineStr">
        <is>
          <t>有效（无到期日）</t>
        </is>
      </c>
      <c r="AG2" s="21" t="inlineStr">
        <is>
          <t>2026-W41</t>
        </is>
      </c>
      <c r="AH2" s="21" t="inlineStr">
        <is>
          <t>Freightos FAX CN-EU≈4.71；Seabay欧线牌价≈5.4–6.9（100–1000kg，2026-10）</t>
        </is>
      </c>
      <c r="AI2" s="21" t="inlineStr">
        <is>
          <t>Q4旺季易上浮</t>
        </is>
      </c>
      <c r="AJ2" s="21" t="inlineStr">
        <is>
          <t>公开参考，非可成交价；马赛多为经CDG/AMS或欧陆枢纽，报FAX欧线级；用于内部初步预算。对外提供金额前，核对货物条件、费用范围和有效报价。</t>
        </is>
      </c>
      <c r="AK2" s="21" t="inlineStr"/>
    </row>
    <row r="3">
      <c r="A3" s="21" t="inlineStr">
        <is>
          <t>欧洲</t>
        </is>
      </c>
      <c r="B3" s="21" t="inlineStr">
        <is>
          <t>上海</t>
        </is>
      </c>
      <c r="C3" s="21" t="inlineStr">
        <is>
          <t>港口</t>
        </is>
      </c>
      <c r="D3" s="21" t="inlineStr">
        <is>
          <t>马赛</t>
        </is>
      </c>
      <c r="E3" s="21" t="inlineStr">
        <is>
          <t>FOS/MRS</t>
        </is>
      </c>
      <c r="F3" s="21" t="inlineStr">
        <is>
          <t>海运</t>
        </is>
      </c>
      <c r="G3" s="21" t="inlineStr">
        <is>
          <t>整机普货</t>
        </is>
      </c>
      <c r="H3" s="21" t="inlineStr">
        <is>
          <t>USD/CBM</t>
        </is>
      </c>
      <c r="I3" s="21" t="inlineStr">
        <is>
          <t>95–165</t>
        </is>
      </c>
      <c r="J3" s="21" t="inlineStr">
        <is>
          <t>USD</t>
        </is>
      </c>
      <c r="K3" s="27" t="inlineStr">
        <is>
          <t>区域指数</t>
        </is>
      </c>
      <c r="L3" s="21" t="inlineStr"/>
      <c r="M3" s="21" t="inlineStr">
        <is>
          <t>港到港</t>
        </is>
      </c>
      <c r="N3" s="21" t="inlineStr">
        <is>
          <t>不适用（海运）</t>
        </is>
      </c>
      <c r="O3" s="21" t="inlineStr">
        <is>
          <t>拼箱 LCL（无柜型）</t>
        </is>
      </c>
      <c r="P3" s="21" t="inlineStr">
        <is>
          <t>不适用（海运）</t>
        </is>
      </c>
      <c r="Q3" s="21" t="inlineStr">
        <is>
          <t>30-40</t>
        </is>
      </c>
      <c r="R3" s="21" t="inlineStr">
        <is>
          <t>港到港（v1.1 口径推定）</t>
        </is>
      </c>
      <c r="S3" s="21" t="inlineStr">
        <is>
          <t>待确认</t>
        </is>
      </c>
      <c r="T3" s="21" t="inlineStr">
        <is>
          <t>无</t>
        </is>
      </c>
      <c r="U3" s="21" t="inlineStr">
        <is>
          <t>无</t>
        </is>
      </c>
      <c r="V3" s="21" t="inlineStr">
        <is>
          <t>不适用（目的港即口岸）</t>
        </is>
      </c>
      <c r="W3" s="21" t="inlineStr"/>
      <c r="X3" s="21" t="inlineStr">
        <is>
          <t>不适用</t>
        </is>
      </c>
      <c r="Y3" s="21">
        <f> 主段（USD/CBM 95–165；30-40 天）；目的口岸即目的地</f>
        <v/>
      </c>
      <c r="Z3" s="21" t="inlineStr">
        <is>
          <t>直达/少中转</t>
        </is>
      </c>
      <c r="AA3" s="28" t="inlineStr">
        <is>
          <t>背景参考</t>
        </is>
      </c>
      <c r="AB3" s="21" t="inlineStr">
        <is>
          <t>2026年行业文（具体日期待核实）；SCFI 地中海 40' 对照 2026-10-09</t>
        </is>
      </c>
      <c r="AC3" s="21" t="inlineStr">
        <is>
          <t>2026-10-15</t>
        </is>
      </c>
      <c r="AD3" s="21" t="inlineStr">
        <is>
          <t>待核实</t>
        </is>
      </c>
      <c r="AE3" s="21" t="inlineStr"/>
      <c r="AF3" s="21" t="inlineStr">
        <is>
          <t>背景参考</t>
        </is>
      </c>
      <c r="AG3" s="21" t="inlineStr">
        <is>
          <t>2026-W41</t>
        </is>
      </c>
      <c r="AH3" s="21" t="inlineStr">
        <is>
          <t>公开LCL欧地中海行情（2026拼箱参考）；SCFI地中海40'=3790作FCL对照</t>
        </is>
      </c>
      <c r="AI3" s="21" t="inlineStr"/>
      <c r="AJ3" s="21" t="inlineStr">
        <is>
          <t>拼箱按CBM；公开参考，非可成交价；体积大时比FCL；用于内部初步预算。对外提供金额前，核对货物条件、费用范围和有效报价。</t>
        </is>
      </c>
      <c r="AK3" s="21" t="inlineStr"/>
    </row>
    <row r="4">
      <c r="A4" s="21" t="inlineStr">
        <is>
          <t>欧洲</t>
        </is>
      </c>
      <c r="B4" s="21" t="inlineStr">
        <is>
          <t>上海</t>
        </is>
      </c>
      <c r="C4" s="21" t="inlineStr">
        <is>
          <t>港口</t>
        </is>
      </c>
      <c r="D4" s="21" t="inlineStr">
        <is>
          <t>马赛</t>
        </is>
      </c>
      <c r="E4" s="21" t="inlineStr">
        <is>
          <t>FOS/MRS</t>
        </is>
      </c>
      <c r="F4" s="21" t="inlineStr">
        <is>
          <t>海运</t>
        </is>
      </c>
      <c r="G4" s="21" t="inlineStr">
        <is>
          <t>整机危险品</t>
        </is>
      </c>
      <c r="H4" s="21" t="inlineStr">
        <is>
          <t>USD/40'</t>
        </is>
      </c>
      <c r="I4" s="21" t="inlineStr">
        <is>
          <t>4,500–5,300</t>
        </is>
      </c>
      <c r="J4" s="21" t="inlineStr">
        <is>
          <t>USD</t>
        </is>
      </c>
      <c r="K4" s="29" t="inlineStr">
        <is>
          <t>模型估算</t>
        </is>
      </c>
      <c r="L4" s="21" t="inlineStr">
        <is>
          <t>SCFI 地中海 40' 3,790 + 危柜溢价约 +20%～40%（示意）；原始依据：SCFI地中海40'=3,790（2026-10-09）+危柜溢价示意约+20%～40%</t>
        </is>
      </c>
      <c r="M4" s="21" t="inlineStr">
        <is>
          <t>港到港</t>
        </is>
      </c>
      <c r="N4" s="21" t="inlineStr">
        <is>
          <t>不适用（海运）</t>
        </is>
      </c>
      <c r="O4" s="21" t="inlineStr">
        <is>
          <t>40'，GP/HQ 待确认（SCFI 未区分）</t>
        </is>
      </c>
      <c r="P4" s="21" t="inlineStr">
        <is>
          <t>不适用（海运）</t>
        </is>
      </c>
      <c r="Q4" s="21" t="inlineStr">
        <is>
          <t>30-40</t>
        </is>
      </c>
      <c r="R4" s="21" t="inlineStr">
        <is>
          <t>港到港（v1.1 口径推定）</t>
        </is>
      </c>
      <c r="S4" s="21" t="inlineStr">
        <is>
          <t>待确认</t>
        </is>
      </c>
      <c r="T4" s="21" t="inlineStr">
        <is>
          <t>无</t>
        </is>
      </c>
      <c r="U4" s="21" t="inlineStr">
        <is>
          <t>无</t>
        </is>
      </c>
      <c r="V4" s="21" t="inlineStr">
        <is>
          <t>不适用（目的港即口岸）</t>
        </is>
      </c>
      <c r="W4" s="21" t="inlineStr"/>
      <c r="X4" s="21" t="inlineStr">
        <is>
          <t>不适用</t>
        </is>
      </c>
      <c r="Y4" s="21">
        <f> 主段（USD/40' 4,500–5,300；30-40 天）；目的口岸即目的地</f>
        <v/>
      </c>
      <c r="Z4" s="21" t="inlineStr">
        <is>
          <t>直达/少中转</t>
        </is>
      </c>
      <c r="AA4" s="21" t="inlineStr">
        <is>
          <t>当期行情</t>
        </is>
      </c>
      <c r="AB4" s="21" t="inlineStr">
        <is>
          <t>SCFI 2026-10-09；危品溢价为2026行业指南（日期待核实）</t>
        </is>
      </c>
      <c r="AC4" s="21" t="inlineStr">
        <is>
          <t>2026-10-15</t>
        </is>
      </c>
      <c r="AD4" s="21" t="inlineStr">
        <is>
          <t>不适用（估算值，随基础数据更新）</t>
        </is>
      </c>
      <c r="AE4" s="21" t="inlineStr"/>
      <c r="AF4" s="21" t="inlineStr">
        <is>
          <t>有效（无到期日）</t>
        </is>
      </c>
      <c r="AG4" s="21" t="inlineStr">
        <is>
          <t>2026-W41</t>
        </is>
      </c>
      <c r="AH4" s="21" t="inlineStr">
        <is>
          <t>SCFI地中海40'=3,790（2026-10-09）+危柜溢价示意约+20%～40%</t>
        </is>
      </c>
      <c r="AI4" s="21" t="inlineStr">
        <is>
          <t>危柜溢价</t>
        </is>
      </c>
      <c r="AJ4" s="21" t="inlineStr">
        <is>
          <t>按整柜；危品附加费船司各异，公开参考，非可成交价；用于内部初步预算。对外提供金额前，核对货物条件、费用范围和有效报价。</t>
        </is>
      </c>
      <c r="AK4" s="21" t="inlineStr"/>
    </row>
    <row r="5">
      <c r="A5" s="21" t="inlineStr">
        <is>
          <t>欧洲</t>
        </is>
      </c>
      <c r="B5" s="21" t="inlineStr">
        <is>
          <t>上海</t>
        </is>
      </c>
      <c r="C5" s="21" t="inlineStr">
        <is>
          <t>机场</t>
        </is>
      </c>
      <c r="D5" s="21" t="inlineStr">
        <is>
          <t>波尔多</t>
        </is>
      </c>
      <c r="E5" s="21" t="inlineStr">
        <is>
          <t>BOD(经CDG/AMS)</t>
        </is>
      </c>
      <c r="F5" s="21" t="inlineStr">
        <is>
          <t>空运</t>
        </is>
      </c>
      <c r="G5" s="21" t="inlineStr">
        <is>
          <t>整机普货</t>
        </is>
      </c>
      <c r="H5" s="21" t="inlineStr">
        <is>
          <t>USD/kg</t>
        </is>
      </c>
      <c r="I5" s="21" t="inlineStr">
        <is>
          <t>5.0–6.5</t>
        </is>
      </c>
      <c r="J5" s="21" t="inlineStr">
        <is>
          <t>USD</t>
        </is>
      </c>
      <c r="K5" s="29" t="inlineStr">
        <is>
          <t>模型估算</t>
        </is>
      </c>
      <c r="L5" s="21" t="inlineStr">
        <is>
          <t>邻近枢纽价+末段卡运推算；原始依据：邻近枢纽：FAX/欧线公开价+末段卡运；无BOD直达公开指数</t>
        </is>
      </c>
      <c r="M5" s="21" t="inlineStr">
        <is>
          <t>到指定城市（含末段卡运估算，未拆分）</t>
        </is>
      </c>
      <c r="N5" s="21" t="inlineStr">
        <is>
          <t>待确认</t>
        </is>
      </c>
      <c r="O5" s="21" t="inlineStr">
        <is>
          <t>不适用（空运）</t>
        </is>
      </c>
      <c r="P5" s="21" t="inlineStr">
        <is>
          <t>待确认（来源未说明是否适用超尺寸/不可堆叠整机）</t>
        </is>
      </c>
      <c r="Q5" s="21" t="inlineStr">
        <is>
          <t>6-10</t>
        </is>
      </c>
      <c r="R5" s="21" t="inlineStr">
        <is>
          <t>待确认</t>
        </is>
      </c>
      <c r="S5" s="21" t="inlineStr">
        <is>
          <t>经CDG/AMS中转</t>
        </is>
      </c>
      <c r="T5" s="21" t="inlineStr">
        <is>
          <t>CDG/AMS</t>
        </is>
      </c>
      <c r="U5" s="21" t="inlineStr">
        <is>
          <t>卡车</t>
        </is>
      </c>
      <c r="V5" s="21" t="inlineStr">
        <is>
          <t>未单列，已含于估算（金额待核实）</t>
        </is>
      </c>
      <c r="W5" s="21" t="inlineStr">
        <is>
          <t>估算</t>
        </is>
      </c>
      <c r="X5" s="21" t="inlineStr">
        <is>
          <t>待核实</t>
        </is>
      </c>
      <c r="Y5" s="21" t="inlineStr">
        <is>
          <t>待核实（主段与内陆/末段须均有数据才显示）</t>
        </is>
      </c>
      <c r="Z5" s="21" t="inlineStr">
        <is>
          <t>空卡（经CDG/AMS）</t>
        </is>
      </c>
      <c r="AA5" s="21" t="inlineStr">
        <is>
          <t>当期行情</t>
        </is>
      </c>
      <c r="AB5" s="21" t="inlineStr">
        <is>
          <t>FAX 当期页面（发布日待核实）</t>
        </is>
      </c>
      <c r="AC5" s="21" t="inlineStr">
        <is>
          <t>2026-10-15</t>
        </is>
      </c>
      <c r="AD5" s="21" t="inlineStr">
        <is>
          <t>不适用（估算值，随基础数据更新）</t>
        </is>
      </c>
      <c r="AE5" s="21" t="inlineStr"/>
      <c r="AF5" s="21" t="inlineStr">
        <is>
          <t>有效（无到期日）</t>
        </is>
      </c>
      <c r="AG5" s="21" t="inlineStr">
        <is>
          <t>2026-W41</t>
        </is>
      </c>
      <c r="AH5" s="21" t="inlineStr">
        <is>
          <t>邻近枢纽：FAX/欧线公开价+末段卡运；无BOD直达公开指数</t>
        </is>
      </c>
      <c r="AI5" s="21" t="inlineStr">
        <is>
          <t>无直达</t>
        </is>
      </c>
      <c r="AJ5" s="21" t="inlineStr">
        <is>
          <t>经巴黎/阿姆斯特丹；公开参考，非可成交价；用于内部初步预算。对外提供金额前，核对货物条件、费用范围和有效报价。</t>
        </is>
      </c>
      <c r="AK5" s="21" t="inlineStr"/>
    </row>
    <row r="6">
      <c r="A6" s="21" t="inlineStr">
        <is>
          <t>欧洲</t>
        </is>
      </c>
      <c r="B6" s="21" t="inlineStr">
        <is>
          <t>上海</t>
        </is>
      </c>
      <c r="C6" s="21" t="inlineStr">
        <is>
          <t>机场</t>
        </is>
      </c>
      <c r="D6" s="21" t="inlineStr">
        <is>
          <t>意大利</t>
        </is>
      </c>
      <c r="E6" s="21" t="inlineStr">
        <is>
          <t>MXP/FCO</t>
        </is>
      </c>
      <c r="F6" s="21" t="inlineStr">
        <is>
          <t>空运</t>
        </is>
      </c>
      <c r="G6" s="21" t="inlineStr">
        <is>
          <t>整机普货</t>
        </is>
      </c>
      <c r="H6" s="21" t="inlineStr">
        <is>
          <t>USD/kg</t>
        </is>
      </c>
      <c r="I6" s="21" t="inlineStr">
        <is>
          <t>4.7–6.0</t>
        </is>
      </c>
      <c r="J6" s="21" t="inlineStr">
        <is>
          <t>USD</t>
        </is>
      </c>
      <c r="K6" s="27" t="inlineStr">
        <is>
          <t>区域指数</t>
        </is>
      </c>
      <c r="L6" s="21" t="inlineStr"/>
      <c r="M6" s="21" t="inlineStr">
        <is>
          <t>机场到机场</t>
        </is>
      </c>
      <c r="N6" s="21" t="inlineStr">
        <is>
          <t>FAX 指数不分重量档；BSI 欧线区间重量档待确认</t>
        </is>
      </c>
      <c r="O6" s="21" t="inlineStr">
        <is>
          <t>不适用（空运）</t>
        </is>
      </c>
      <c r="P6" s="21" t="inlineStr">
        <is>
          <t>待确认（来源未说明是否适用超尺寸/不可堆叠整机）</t>
        </is>
      </c>
      <c r="Q6" s="21" t="inlineStr">
        <is>
          <t>5-8</t>
        </is>
      </c>
      <c r="R6" s="21" t="inlineStr">
        <is>
          <t>机场到机场（v1.1 口径推定）</t>
        </is>
      </c>
      <c r="S6" s="21" t="inlineStr">
        <is>
          <t>待确认</t>
        </is>
      </c>
      <c r="T6" s="21" t="inlineStr">
        <is>
          <t>无</t>
        </is>
      </c>
      <c r="U6" s="21" t="inlineStr">
        <is>
          <t>无</t>
        </is>
      </c>
      <c r="V6" s="21" t="inlineStr">
        <is>
          <t>不适用（目的机场即口岸）</t>
        </is>
      </c>
      <c r="W6" s="21" t="inlineStr"/>
      <c r="X6" s="21" t="inlineStr">
        <is>
          <t>不适用</t>
        </is>
      </c>
      <c r="Y6" s="21">
        <f> 主段（USD/kg 4.7–6.0；5-8 天）；目的口岸即目的地</f>
        <v/>
      </c>
      <c r="Z6" s="21" t="inlineStr">
        <is>
          <t>直达/少中转</t>
        </is>
      </c>
      <c r="AA6" s="21" t="inlineStr">
        <is>
          <t>当期行情</t>
        </is>
      </c>
      <c r="AB6" s="21" t="inlineStr">
        <is>
          <t>FAX 当期页面（待核实）；BSI 标注2026年更新</t>
        </is>
      </c>
      <c r="AC6" s="21" t="inlineStr">
        <is>
          <t>2026-10-15</t>
        </is>
      </c>
      <c r="AD6" s="21" t="inlineStr">
        <is>
          <t>不适用（指数/行情，无报价有效期）</t>
        </is>
      </c>
      <c r="AE6" s="21" t="inlineStr"/>
      <c r="AF6" s="21" t="inlineStr">
        <is>
          <t>有效（无到期日）</t>
        </is>
      </c>
      <c r="AG6" s="21" t="inlineStr">
        <is>
          <t>2026-W41</t>
        </is>
      </c>
      <c r="AH6" s="21" t="inlineStr">
        <is>
          <t>Freightos FAX CN-EU≈4.71；BSI欧线区间参考</t>
        </is>
      </c>
      <c r="AI6" s="21" t="inlineStr">
        <is>
          <t>旺季上浮</t>
        </is>
      </c>
      <c r="AJ6" s="21" t="inlineStr">
        <is>
          <t>默认米兰MXP优先；公开参考，非可成交价；用于内部初步预算。对外提供金额前，核对货物条件、费用范围和有效报价。</t>
        </is>
      </c>
      <c r="AK6" s="21" t="inlineStr"/>
    </row>
    <row r="7">
      <c r="A7" s="21" t="inlineStr">
        <is>
          <t>欧洲</t>
        </is>
      </c>
      <c r="B7" s="21" t="inlineStr">
        <is>
          <t>宁波</t>
        </is>
      </c>
      <c r="C7" s="21" t="inlineStr">
        <is>
          <t>港口</t>
        </is>
      </c>
      <c r="D7" s="21" t="inlineStr">
        <is>
          <t>比利时</t>
        </is>
      </c>
      <c r="E7" s="21" t="inlineStr">
        <is>
          <t>ANR</t>
        </is>
      </c>
      <c r="F7" s="21" t="inlineStr">
        <is>
          <t>海运</t>
        </is>
      </c>
      <c r="G7" s="21" t="inlineStr">
        <is>
          <t>整机普货</t>
        </is>
      </c>
      <c r="H7" s="21" t="inlineStr">
        <is>
          <t>USD/CBM</t>
        </is>
      </c>
      <c r="I7" s="21" t="inlineStr">
        <is>
          <t>85–145</t>
        </is>
      </c>
      <c r="J7" s="21" t="inlineStr">
        <is>
          <t>USD</t>
        </is>
      </c>
      <c r="K7" s="27" t="inlineStr">
        <is>
          <t>区域指数</t>
        </is>
      </c>
      <c r="L7" s="21" t="inlineStr"/>
      <c r="M7" s="21" t="inlineStr">
        <is>
          <t>港到港</t>
        </is>
      </c>
      <c r="N7" s="21" t="inlineStr">
        <is>
          <t>不适用（海运）</t>
        </is>
      </c>
      <c r="O7" s="21" t="inlineStr">
        <is>
          <t>拼箱 LCL（无柜型）</t>
        </is>
      </c>
      <c r="P7" s="21" t="inlineStr">
        <is>
          <t>不适用（海运）</t>
        </is>
      </c>
      <c r="Q7" s="21" t="inlineStr">
        <is>
          <t>32-42</t>
        </is>
      </c>
      <c r="R7" s="21" t="inlineStr">
        <is>
          <t>港到港（v1.1 口径推定）</t>
        </is>
      </c>
      <c r="S7" s="21" t="inlineStr">
        <is>
          <t>待确认</t>
        </is>
      </c>
      <c r="T7" s="21" t="inlineStr">
        <is>
          <t>无</t>
        </is>
      </c>
      <c r="U7" s="21" t="inlineStr">
        <is>
          <t>无</t>
        </is>
      </c>
      <c r="V7" s="21" t="inlineStr">
        <is>
          <t>不适用（目的港即口岸）</t>
        </is>
      </c>
      <c r="W7" s="21" t="inlineStr"/>
      <c r="X7" s="21" t="inlineStr">
        <is>
          <t>不适用</t>
        </is>
      </c>
      <c r="Y7" s="21">
        <f> 主段（USD/CBM 85–145；32-42 天）；目的口岸即目的地</f>
        <v/>
      </c>
      <c r="Z7" s="21" t="inlineStr">
        <is>
          <t>直达/少中转</t>
        </is>
      </c>
      <c r="AA7" s="28" t="inlineStr">
        <is>
          <t>背景参考</t>
        </is>
      </c>
      <c r="AB7" s="21" t="inlineStr">
        <is>
          <t>2026年行业文（具体日期待核实）；SCFI 欧洲 40' 对照 2026-10-09</t>
        </is>
      </c>
      <c r="AC7" s="21" t="inlineStr">
        <is>
          <t>2026-10-15</t>
        </is>
      </c>
      <c r="AD7" s="21" t="inlineStr">
        <is>
          <t>待核实</t>
        </is>
      </c>
      <c r="AE7" s="21" t="inlineStr"/>
      <c r="AF7" s="21" t="inlineStr">
        <is>
          <t>背景参考</t>
        </is>
      </c>
      <c r="AG7" s="21" t="inlineStr">
        <is>
          <t>2026-W41</t>
        </is>
      </c>
      <c r="AH7" s="21" t="inlineStr">
        <is>
          <t>公开LCL北欧/安特卫普行情；SCFI欧洲40'=3,455（2026-10-09）对照</t>
        </is>
      </c>
      <c r="AI7" s="21" t="inlineStr"/>
      <c r="AJ7" s="21" t="inlineStr">
        <is>
          <t>拼箱按CBM；公开参考，非可成交价；用于内部初步预算。对外提供金额前，核对货物条件、费用范围和有效报价。</t>
        </is>
      </c>
      <c r="AK7" s="21" t="inlineStr"/>
    </row>
    <row r="8">
      <c r="A8" s="21" t="inlineStr">
        <is>
          <t>欧洲</t>
        </is>
      </c>
      <c r="B8" s="21" t="inlineStr">
        <is>
          <t>上海</t>
        </is>
      </c>
      <c r="C8" s="21" t="inlineStr">
        <is>
          <t>机场</t>
        </is>
      </c>
      <c r="D8" s="21" t="inlineStr">
        <is>
          <t>波兰</t>
        </is>
      </c>
      <c r="E8" s="21" t="inlineStr">
        <is>
          <t>WAW</t>
        </is>
      </c>
      <c r="F8" s="21" t="inlineStr">
        <is>
          <t>空运</t>
        </is>
      </c>
      <c r="G8" s="21" t="inlineStr">
        <is>
          <t>整机普货</t>
        </is>
      </c>
      <c r="H8" s="21" t="inlineStr">
        <is>
          <t>USD/kg</t>
        </is>
      </c>
      <c r="I8" s="21" t="inlineStr">
        <is>
          <t>5.0–6.5</t>
        </is>
      </c>
      <c r="J8" s="21" t="inlineStr">
        <is>
          <t>USD</t>
        </is>
      </c>
      <c r="K8" s="29" t="inlineStr">
        <is>
          <t>模型估算</t>
        </is>
      </c>
      <c r="L8" s="21" t="inlineStr">
        <is>
          <t>欧线公开行情+中东欧溢价推算；原始依据：欧线公开行情+中东欧溢价；FAX欧线为底</t>
        </is>
      </c>
      <c r="M8" s="21" t="inlineStr">
        <is>
          <t>机场到机场</t>
        </is>
      </c>
      <c r="N8" s="21" t="inlineStr">
        <is>
          <t>待确认</t>
        </is>
      </c>
      <c r="O8" s="21" t="inlineStr">
        <is>
          <t>不适用（空运）</t>
        </is>
      </c>
      <c r="P8" s="21" t="inlineStr">
        <is>
          <t>待确认（来源未说明是否适用超尺寸/不可堆叠整机）</t>
        </is>
      </c>
      <c r="Q8" s="21" t="inlineStr">
        <is>
          <t>5-9</t>
        </is>
      </c>
      <c r="R8" s="21" t="inlineStr">
        <is>
          <t>机场到机场（v1.1 口径推定）</t>
        </is>
      </c>
      <c r="S8" s="21" t="inlineStr">
        <is>
          <t>待确认</t>
        </is>
      </c>
      <c r="T8" s="21" t="inlineStr">
        <is>
          <t>无</t>
        </is>
      </c>
      <c r="U8" s="21" t="inlineStr">
        <is>
          <t>无</t>
        </is>
      </c>
      <c r="V8" s="21" t="inlineStr">
        <is>
          <t>不适用（目的机场即口岸）</t>
        </is>
      </c>
      <c r="W8" s="21" t="inlineStr"/>
      <c r="X8" s="21" t="inlineStr">
        <is>
          <t>不适用</t>
        </is>
      </c>
      <c r="Y8" s="21">
        <f> 主段（USD/kg 5.0–6.5；5-9 天）；目的口岸即目的地</f>
        <v/>
      </c>
      <c r="Z8" s="21" t="inlineStr">
        <is>
          <t>直达/少中转</t>
        </is>
      </c>
      <c r="AA8" s="21" t="inlineStr">
        <is>
          <t>当期行情</t>
        </is>
      </c>
      <c r="AB8" s="21" t="inlineStr">
        <is>
          <t>FAX 当期页面（待核实）</t>
        </is>
      </c>
      <c r="AC8" s="21" t="inlineStr">
        <is>
          <t>2026-10-15</t>
        </is>
      </c>
      <c r="AD8" s="21" t="inlineStr">
        <is>
          <t>不适用（估算值，随基础数据更新）</t>
        </is>
      </c>
      <c r="AE8" s="21" t="inlineStr"/>
      <c r="AF8" s="21" t="inlineStr">
        <is>
          <t>有效（无到期日）</t>
        </is>
      </c>
      <c r="AG8" s="21" t="inlineStr">
        <is>
          <t>2026-W41</t>
        </is>
      </c>
      <c r="AH8" s="21" t="inlineStr">
        <is>
          <t>欧线公开行情+中东欧溢价；FAX欧线为底</t>
        </is>
      </c>
      <c r="AI8" s="21" t="inlineStr"/>
      <c r="AJ8" s="21" t="inlineStr">
        <is>
          <t>公开参考，非可成交价；用于内部初步预算。对外提供金额前，核对货物条件、费用范围和有效报价。</t>
        </is>
      </c>
      <c r="AK8" s="21" t="inlineStr"/>
    </row>
    <row r="9">
      <c r="A9" s="21" t="inlineStr">
        <is>
          <t>欧洲</t>
        </is>
      </c>
      <c r="B9" s="21" t="inlineStr">
        <is>
          <t>上海</t>
        </is>
      </c>
      <c r="C9" s="21" t="inlineStr">
        <is>
          <t>机场</t>
        </is>
      </c>
      <c r="D9" s="21" t="inlineStr">
        <is>
          <t>黑山</t>
        </is>
      </c>
      <c r="E9" s="21" t="inlineStr">
        <is>
          <t>TGD(经IST/VIE)</t>
        </is>
      </c>
      <c r="F9" s="21" t="inlineStr">
        <is>
          <t>空运</t>
        </is>
      </c>
      <c r="G9" s="21" t="inlineStr">
        <is>
          <t>整机普货</t>
        </is>
      </c>
      <c r="H9" s="21" t="inlineStr">
        <is>
          <t>USD/kg</t>
        </is>
      </c>
      <c r="I9" s="21" t="inlineStr">
        <is>
          <t>6.0–7.5</t>
        </is>
      </c>
      <c r="J9" s="21" t="inlineStr">
        <is>
          <t>USD</t>
        </is>
      </c>
      <c r="K9" s="29" t="inlineStr">
        <is>
          <t>模型估算</t>
        </is>
      </c>
      <c r="L9" s="21" t="inlineStr">
        <is>
          <t>欧线枢纽价+巴尔干空卡推算；原始依据：无直达公开指数；按欧线枢纽价+巴尔干空卡估算</t>
        </is>
      </c>
      <c r="M9" s="21" t="inlineStr">
        <is>
          <t>到指定城市（含末段卡运估算，未拆分）</t>
        </is>
      </c>
      <c r="N9" s="21" t="inlineStr">
        <is>
          <t>待确认</t>
        </is>
      </c>
      <c r="O9" s="21" t="inlineStr">
        <is>
          <t>不适用（空运）</t>
        </is>
      </c>
      <c r="P9" s="21" t="inlineStr">
        <is>
          <t>待确认（来源未说明是否适用超尺寸/不可堆叠整机）</t>
        </is>
      </c>
      <c r="Q9" s="21" t="inlineStr">
        <is>
          <t>7-12</t>
        </is>
      </c>
      <c r="R9" s="21" t="inlineStr">
        <is>
          <t>待确认</t>
        </is>
      </c>
      <c r="S9" s="21" t="inlineStr">
        <is>
          <t>经IST/VIE中转</t>
        </is>
      </c>
      <c r="T9" s="21" t="inlineStr">
        <is>
          <t>IST/VIE</t>
        </is>
      </c>
      <c r="U9" s="21" t="inlineStr">
        <is>
          <t>卡车</t>
        </is>
      </c>
      <c r="V9" s="21" t="inlineStr">
        <is>
          <t>未单列，已含于估算（金额待核实）</t>
        </is>
      </c>
      <c r="W9" s="21" t="inlineStr">
        <is>
          <t>估算</t>
        </is>
      </c>
      <c r="X9" s="21" t="inlineStr">
        <is>
          <t>待核实</t>
        </is>
      </c>
      <c r="Y9" s="21" t="inlineStr">
        <is>
          <t>待核实（主段与内陆/末段须均有数据才显示）</t>
        </is>
      </c>
      <c r="Z9" s="21" t="inlineStr">
        <is>
          <t>空卡（经IST/VIE）</t>
        </is>
      </c>
      <c r="AA9" s="21" t="inlineStr">
        <is>
          <t>当期行情</t>
        </is>
      </c>
      <c r="AB9" s="21" t="inlineStr">
        <is>
          <t>FAX/欧线行情（日期待核实）</t>
        </is>
      </c>
      <c r="AC9" s="21" t="inlineStr">
        <is>
          <t>2026-10-15</t>
        </is>
      </c>
      <c r="AD9" s="21" t="inlineStr">
        <is>
          <t>不适用（估算值，随基础数据更新）</t>
        </is>
      </c>
      <c r="AE9" s="21" t="inlineStr"/>
      <c r="AF9" s="21" t="inlineStr">
        <is>
          <t>有效（无到期日）</t>
        </is>
      </c>
      <c r="AG9" s="21" t="inlineStr">
        <is>
          <t>2026-W41</t>
        </is>
      </c>
      <c r="AH9" s="21" t="inlineStr">
        <is>
          <t>无直达公开指数；按欧线枢纽价+巴尔干空卡估算</t>
        </is>
      </c>
      <c r="AI9" s="21" t="inlineStr">
        <is>
          <t>无直达</t>
        </is>
      </c>
      <c r="AJ9" s="21" t="inlineStr">
        <is>
          <t>经伊斯坦布尔/维也纳；公开参考，非可成交价；建议货代实询；用于内部初步预算。对外提供金额前，核对货物条件、费用范围和有效报价。</t>
        </is>
      </c>
      <c r="AK9" s="21" t="inlineStr"/>
    </row>
    <row r="10">
      <c r="A10" s="21" t="inlineStr">
        <is>
          <t>欧洲</t>
        </is>
      </c>
      <c r="B10" s="21" t="inlineStr">
        <is>
          <t>上海</t>
        </is>
      </c>
      <c r="C10" s="21" t="inlineStr">
        <is>
          <t>机场</t>
        </is>
      </c>
      <c r="D10" s="21" t="inlineStr">
        <is>
          <t>波黑</t>
        </is>
      </c>
      <c r="E10" s="21" t="inlineStr">
        <is>
          <t>SJJ(经IST/VIE)</t>
        </is>
      </c>
      <c r="F10" s="21" t="inlineStr">
        <is>
          <t>空运</t>
        </is>
      </c>
      <c r="G10" s="21" t="inlineStr">
        <is>
          <t>整机普货</t>
        </is>
      </c>
      <c r="H10" s="21" t="inlineStr">
        <is>
          <t>USD/kg</t>
        </is>
      </c>
      <c r="I10" s="21" t="inlineStr">
        <is>
          <t>6.0–7.5</t>
        </is>
      </c>
      <c r="J10" s="21" t="inlineStr">
        <is>
          <t>USD</t>
        </is>
      </c>
      <c r="K10" s="29" t="inlineStr">
        <is>
          <t>模型估算</t>
        </is>
      </c>
      <c r="L10" s="21" t="inlineStr">
        <is>
          <t>欧线枢纽价+巴尔干空卡推算；原始依据：无直达公开指数；按欧线枢纽价+巴尔干空卡估算</t>
        </is>
      </c>
      <c r="M10" s="21" t="inlineStr">
        <is>
          <t>到指定城市（含末段卡运估算，未拆分）</t>
        </is>
      </c>
      <c r="N10" s="21" t="inlineStr">
        <is>
          <t>待确认</t>
        </is>
      </c>
      <c r="O10" s="21" t="inlineStr">
        <is>
          <t>不适用（空运）</t>
        </is>
      </c>
      <c r="P10" s="21" t="inlineStr">
        <is>
          <t>待确认（来源未说明是否适用超尺寸/不可堆叠整机）</t>
        </is>
      </c>
      <c r="Q10" s="21" t="inlineStr">
        <is>
          <t>7-12</t>
        </is>
      </c>
      <c r="R10" s="21" t="inlineStr">
        <is>
          <t>待确认</t>
        </is>
      </c>
      <c r="S10" s="21" t="inlineStr">
        <is>
          <t>经IST/VIE中转</t>
        </is>
      </c>
      <c r="T10" s="21" t="inlineStr">
        <is>
          <t>IST/VIE</t>
        </is>
      </c>
      <c r="U10" s="21" t="inlineStr">
        <is>
          <t>卡车</t>
        </is>
      </c>
      <c r="V10" s="21" t="inlineStr">
        <is>
          <t>未单列，已含于估算（金额待核实）</t>
        </is>
      </c>
      <c r="W10" s="21" t="inlineStr">
        <is>
          <t>估算</t>
        </is>
      </c>
      <c r="X10" s="21" t="inlineStr">
        <is>
          <t>待核实</t>
        </is>
      </c>
      <c r="Y10" s="21" t="inlineStr">
        <is>
          <t>待核实（主段与内陆/末段须均有数据才显示）</t>
        </is>
      </c>
      <c r="Z10" s="21" t="inlineStr">
        <is>
          <t>空卡（经IST/VIE）</t>
        </is>
      </c>
      <c r="AA10" s="21" t="inlineStr">
        <is>
          <t>当期行情</t>
        </is>
      </c>
      <c r="AB10" s="21" t="inlineStr">
        <is>
          <t>FAX/欧线行情（日期待核实）</t>
        </is>
      </c>
      <c r="AC10" s="21" t="inlineStr">
        <is>
          <t>2026-10-15</t>
        </is>
      </c>
      <c r="AD10" s="21" t="inlineStr">
        <is>
          <t>不适用（估算值，随基础数据更新）</t>
        </is>
      </c>
      <c r="AE10" s="21" t="inlineStr"/>
      <c r="AF10" s="21" t="inlineStr">
        <is>
          <t>有效（无到期日）</t>
        </is>
      </c>
      <c r="AG10" s="21" t="inlineStr">
        <is>
          <t>2026-W41</t>
        </is>
      </c>
      <c r="AH10" s="21" t="inlineStr">
        <is>
          <t>无直达公开指数；按欧线枢纽价+巴尔干空卡估算</t>
        </is>
      </c>
      <c r="AI10" s="21" t="inlineStr">
        <is>
          <t>无直达</t>
        </is>
      </c>
      <c r="AJ10" s="21" t="inlineStr">
        <is>
          <t>经伊斯坦布尔/维也纳；公开参考，非可成交价；建议货代实询；用于内部初步预算。对外提供金额前，核对货物条件、费用范围和有效报价。</t>
        </is>
      </c>
      <c r="AK10" s="21" t="inlineStr"/>
    </row>
    <row r="11">
      <c r="A11" s="21" t="inlineStr">
        <is>
          <t>欧洲</t>
        </is>
      </c>
      <c r="B11" s="21" t="inlineStr">
        <is>
          <t>上海</t>
        </is>
      </c>
      <c r="C11" s="21" t="inlineStr">
        <is>
          <t>港口</t>
        </is>
      </c>
      <c r="D11" s="21" t="inlineStr">
        <is>
          <t>意大利</t>
        </is>
      </c>
      <c r="E11" s="21" t="inlineStr">
        <is>
          <t>GOA/SPE</t>
        </is>
      </c>
      <c r="F11" s="21" t="inlineStr">
        <is>
          <t>海运</t>
        </is>
      </c>
      <c r="G11" s="21" t="inlineStr">
        <is>
          <t>整机普货</t>
        </is>
      </c>
      <c r="H11" s="21" t="inlineStr">
        <is>
          <t>USD/CBM</t>
        </is>
      </c>
      <c r="I11" s="21" t="inlineStr">
        <is>
          <t>95–165</t>
        </is>
      </c>
      <c r="J11" s="21" t="inlineStr">
        <is>
          <t>USD</t>
        </is>
      </c>
      <c r="K11" s="27" t="inlineStr">
        <is>
          <t>区域指数</t>
        </is>
      </c>
      <c r="L11" s="21" t="inlineStr"/>
      <c r="M11" s="21" t="inlineStr">
        <is>
          <t>港到港</t>
        </is>
      </c>
      <c r="N11" s="21" t="inlineStr">
        <is>
          <t>不适用（海运）</t>
        </is>
      </c>
      <c r="O11" s="21" t="inlineStr">
        <is>
          <t>拼箱 LCL（无柜型）</t>
        </is>
      </c>
      <c r="P11" s="21" t="inlineStr">
        <is>
          <t>不适用（海运）</t>
        </is>
      </c>
      <c r="Q11" s="21" t="inlineStr">
        <is>
          <t>28-38</t>
        </is>
      </c>
      <c r="R11" s="21" t="inlineStr">
        <is>
          <t>港到港（v1.1 口径推定）</t>
        </is>
      </c>
      <c r="S11" s="21" t="inlineStr">
        <is>
          <t>待确认</t>
        </is>
      </c>
      <c r="T11" s="21" t="inlineStr">
        <is>
          <t>无</t>
        </is>
      </c>
      <c r="U11" s="21" t="inlineStr">
        <is>
          <t>无</t>
        </is>
      </c>
      <c r="V11" s="21" t="inlineStr">
        <is>
          <t>不适用（目的港即口岸）</t>
        </is>
      </c>
      <c r="W11" s="21" t="inlineStr"/>
      <c r="X11" s="21" t="inlineStr">
        <is>
          <t>不适用</t>
        </is>
      </c>
      <c r="Y11" s="21">
        <f> 主段（USD/CBM 95–165；28-38 天）；目的口岸即目的地</f>
        <v/>
      </c>
      <c r="Z11" s="21" t="inlineStr">
        <is>
          <t>直达/少中转</t>
        </is>
      </c>
      <c r="AA11" s="28" t="inlineStr">
        <is>
          <t>背景参考</t>
        </is>
      </c>
      <c r="AB11" s="21" t="inlineStr">
        <is>
          <t>2026年行业文（具体日期待核实）；SCFI 地中海 40' 对照 2026-10-09</t>
        </is>
      </c>
      <c r="AC11" s="21" t="inlineStr">
        <is>
          <t>2026-10-15</t>
        </is>
      </c>
      <c r="AD11" s="21" t="inlineStr">
        <is>
          <t>待核实</t>
        </is>
      </c>
      <c r="AE11" s="21" t="inlineStr"/>
      <c r="AF11" s="21" t="inlineStr">
        <is>
          <t>背景参考</t>
        </is>
      </c>
      <c r="AG11" s="21" t="inlineStr">
        <is>
          <t>2026-W41</t>
        </is>
      </c>
      <c r="AH11" s="21" t="inlineStr">
        <is>
          <t>公开LCL意大利港；SCFI地中海40'=3,790对照</t>
        </is>
      </c>
      <c r="AI11" s="21" t="inlineStr"/>
      <c r="AJ11" s="21" t="inlineStr">
        <is>
          <t>拼箱按CBM；公开参考，非可成交价；用于内部初步预算。对外提供金额前，核对货物条件、费用范围和有效报价。</t>
        </is>
      </c>
      <c r="AK11" s="21" t="inlineStr"/>
    </row>
    <row r="12">
      <c r="A12" s="21" t="inlineStr">
        <is>
          <t>欧洲</t>
        </is>
      </c>
      <c r="B12" s="21" t="inlineStr">
        <is>
          <t>上海</t>
        </is>
      </c>
      <c r="C12" s="21" t="inlineStr">
        <is>
          <t>港口</t>
        </is>
      </c>
      <c r="D12" s="21" t="inlineStr">
        <is>
          <t>比利时</t>
        </is>
      </c>
      <c r="E12" s="21" t="inlineStr">
        <is>
          <t>ANR</t>
        </is>
      </c>
      <c r="F12" s="21" t="inlineStr">
        <is>
          <t>海运</t>
        </is>
      </c>
      <c r="G12" s="21" t="inlineStr">
        <is>
          <t>整机危险品</t>
        </is>
      </c>
      <c r="H12" s="21" t="inlineStr">
        <is>
          <t>USD/40'</t>
        </is>
      </c>
      <c r="I12" s="21" t="inlineStr">
        <is>
          <t>4,100–4,900</t>
        </is>
      </c>
      <c r="J12" s="21" t="inlineStr">
        <is>
          <t>USD</t>
        </is>
      </c>
      <c r="K12" s="29" t="inlineStr">
        <is>
          <t>模型估算</t>
        </is>
      </c>
      <c r="L12" s="21" t="inlineStr">
        <is>
          <t>SCFI 欧洲 40' 3,455 + 危柜溢价约 +20%～40%（示意）；原始依据：SCFI欧洲40'=3,455（2026-10-09）+危柜溢价示意约+20%～40%</t>
        </is>
      </c>
      <c r="M12" s="21" t="inlineStr">
        <is>
          <t>港到港</t>
        </is>
      </c>
      <c r="N12" s="21" t="inlineStr">
        <is>
          <t>不适用（海运）</t>
        </is>
      </c>
      <c r="O12" s="21" t="inlineStr">
        <is>
          <t>40'，GP/HQ 待确认（SCFI 未区分）</t>
        </is>
      </c>
      <c r="P12" s="21" t="inlineStr">
        <is>
          <t>不适用（海运）</t>
        </is>
      </c>
      <c r="Q12" s="21" t="inlineStr">
        <is>
          <t>32-42</t>
        </is>
      </c>
      <c r="R12" s="21" t="inlineStr">
        <is>
          <t>港到港（v1.1 口径推定）</t>
        </is>
      </c>
      <c r="S12" s="21" t="inlineStr">
        <is>
          <t>待确认</t>
        </is>
      </c>
      <c r="T12" s="21" t="inlineStr">
        <is>
          <t>无</t>
        </is>
      </c>
      <c r="U12" s="21" t="inlineStr">
        <is>
          <t>无</t>
        </is>
      </c>
      <c r="V12" s="21" t="inlineStr">
        <is>
          <t>不适用（目的港即口岸）</t>
        </is>
      </c>
      <c r="W12" s="21" t="inlineStr"/>
      <c r="X12" s="21" t="inlineStr">
        <is>
          <t>不适用</t>
        </is>
      </c>
      <c r="Y12" s="21">
        <f> 主段（USD/40' 4,100–4,900；32-42 天）；目的口岸即目的地</f>
        <v/>
      </c>
      <c r="Z12" s="21" t="inlineStr">
        <is>
          <t>直达/少中转</t>
        </is>
      </c>
      <c r="AA12" s="21" t="inlineStr">
        <is>
          <t>当期行情</t>
        </is>
      </c>
      <c r="AB12" s="21" t="inlineStr">
        <is>
          <t>SCFI 2026-10-09；危品溢价为2026行业指南（日期待核实）</t>
        </is>
      </c>
      <c r="AC12" s="21" t="inlineStr">
        <is>
          <t>2026-10-15</t>
        </is>
      </c>
      <c r="AD12" s="21" t="inlineStr">
        <is>
          <t>不适用（估算值，随基础数据更新）</t>
        </is>
      </c>
      <c r="AE12" s="21" t="inlineStr"/>
      <c r="AF12" s="21" t="inlineStr">
        <is>
          <t>有效（无到期日）</t>
        </is>
      </c>
      <c r="AG12" s="21" t="inlineStr">
        <is>
          <t>2026-W41</t>
        </is>
      </c>
      <c r="AH12" s="21" t="inlineStr">
        <is>
          <t>SCFI欧洲40'=3,455（2026-10-09）+危柜溢价示意约+20%～40%</t>
        </is>
      </c>
      <c r="AI12" s="21" t="inlineStr">
        <is>
          <t>危柜溢价</t>
        </is>
      </c>
      <c r="AJ12" s="21" t="inlineStr">
        <is>
          <t>按整柜；公开参考，非可成交价；用于内部初步预算。对外提供金额前，核对货物条件、费用范围和有效报价。</t>
        </is>
      </c>
      <c r="AK12" s="21" t="inlineStr"/>
    </row>
    <row r="13">
      <c r="A13" s="21" t="inlineStr">
        <is>
          <t>亚太</t>
        </is>
      </c>
      <c r="B13" s="21" t="inlineStr">
        <is>
          <t>深圳</t>
        </is>
      </c>
      <c r="C13" s="21" t="inlineStr">
        <is>
          <t>机场</t>
        </is>
      </c>
      <c r="D13" s="21" t="inlineStr">
        <is>
          <t>马尼拉</t>
        </is>
      </c>
      <c r="E13" s="21" t="inlineStr">
        <is>
          <t>MNL</t>
        </is>
      </c>
      <c r="F13" s="21" t="inlineStr">
        <is>
          <t>空运</t>
        </is>
      </c>
      <c r="G13" s="21" t="inlineStr">
        <is>
          <t>整机普货</t>
        </is>
      </c>
      <c r="H13" s="21" t="inlineStr">
        <is>
          <t>USD/kg</t>
        </is>
      </c>
      <c r="I13" s="21" t="inlineStr">
        <is>
          <t>2.0–4.0</t>
        </is>
      </c>
      <c r="J13" s="21" t="inlineStr">
        <is>
          <t>USD</t>
        </is>
      </c>
      <c r="K13" s="27" t="inlineStr">
        <is>
          <t>区域指数</t>
        </is>
      </c>
      <c r="L13" s="21" t="inlineStr"/>
      <c r="M13" s="21" t="inlineStr">
        <is>
          <t>机场到机场</t>
        </is>
      </c>
      <c r="N13" s="21" t="inlineStr">
        <is>
          <t>&gt;100kg（BSI 中国→东南亚区间）</t>
        </is>
      </c>
      <c r="O13" s="21" t="inlineStr">
        <is>
          <t>不适用（空运）</t>
        </is>
      </c>
      <c r="P13" s="21" t="inlineStr">
        <is>
          <t>待确认（来源未说明是否适用超尺寸/不可堆叠整机）</t>
        </is>
      </c>
      <c r="Q13" s="21" t="inlineStr">
        <is>
          <t>2-4</t>
        </is>
      </c>
      <c r="R13" s="21" t="inlineStr">
        <is>
          <t>机场到机场（v1.1 口径推定）</t>
        </is>
      </c>
      <c r="S13" s="21" t="inlineStr">
        <is>
          <t>待确认</t>
        </is>
      </c>
      <c r="T13" s="21" t="inlineStr">
        <is>
          <t>无</t>
        </is>
      </c>
      <c r="U13" s="21" t="inlineStr">
        <is>
          <t>无</t>
        </is>
      </c>
      <c r="V13" s="21" t="inlineStr">
        <is>
          <t>不适用（目的机场即口岸）</t>
        </is>
      </c>
      <c r="W13" s="21" t="inlineStr"/>
      <c r="X13" s="21" t="inlineStr">
        <is>
          <t>不适用</t>
        </is>
      </c>
      <c r="Y13" s="21">
        <f> 主段（USD/kg 2.0–4.0；2-4 天）；目的口岸即目的地</f>
        <v/>
      </c>
      <c r="Z13" s="21" t="inlineStr">
        <is>
          <t>直达/少中转</t>
        </is>
      </c>
      <c r="AA13" s="28" t="inlineStr">
        <is>
          <t>背景参考</t>
        </is>
      </c>
      <c r="AB13" s="21" t="inlineStr">
        <is>
          <t>BSI 标注2026年更新（具体日期待核实）</t>
        </is>
      </c>
      <c r="AC13" s="21" t="inlineStr">
        <is>
          <t>2026-10-15</t>
        </is>
      </c>
      <c r="AD13" s="21" t="inlineStr">
        <is>
          <t>待核实</t>
        </is>
      </c>
      <c r="AE13" s="21" t="inlineStr"/>
      <c r="AF13" s="21" t="inlineStr">
        <is>
          <t>背景参考</t>
        </is>
      </c>
      <c r="AG13" s="21" t="inlineStr">
        <is>
          <t>2026-W41</t>
        </is>
      </c>
      <c r="AH13" s="21" t="inlineStr">
        <is>
          <t>BSI中国→东南亚公开区间≈1.76–4.10（&gt;100kg）</t>
        </is>
      </c>
      <c r="AI13" s="21" t="inlineStr">
        <is>
          <t>台风季波动</t>
        </is>
      </c>
      <c r="AJ13" s="21" t="inlineStr">
        <is>
          <t>公开参考，非可成交价；用于内部初步预算。对外提供金额前，核对货物条件、费用范围和有效报价。</t>
        </is>
      </c>
      <c r="AK13" s="21" t="inlineStr"/>
    </row>
    <row r="14">
      <c r="A14" s="21" t="inlineStr">
        <is>
          <t>亚太</t>
        </is>
      </c>
      <c r="B14" s="21" t="inlineStr">
        <is>
          <t>上海</t>
        </is>
      </c>
      <c r="C14" s="21" t="inlineStr">
        <is>
          <t>港口</t>
        </is>
      </c>
      <c r="D14" s="21" t="inlineStr">
        <is>
          <t>雅加达</t>
        </is>
      </c>
      <c r="E14" s="21" t="inlineStr">
        <is>
          <t>JKT</t>
        </is>
      </c>
      <c r="F14" s="21" t="inlineStr">
        <is>
          <t>海运</t>
        </is>
      </c>
      <c r="G14" s="21" t="inlineStr">
        <is>
          <t>整机普货</t>
        </is>
      </c>
      <c r="H14" s="21" t="inlineStr">
        <is>
          <t>USD/CBM</t>
        </is>
      </c>
      <c r="I14" s="21" t="inlineStr">
        <is>
          <t>30–60</t>
        </is>
      </c>
      <c r="J14" s="21" t="inlineStr">
        <is>
          <t>USD</t>
        </is>
      </c>
      <c r="K14" s="27" t="inlineStr">
        <is>
          <t>区域指数</t>
        </is>
      </c>
      <c r="L14" s="21" t="inlineStr"/>
      <c r="M14" s="21" t="inlineStr">
        <is>
          <t>港到港</t>
        </is>
      </c>
      <c r="N14" s="21" t="inlineStr">
        <is>
          <t>不适用（海运）</t>
        </is>
      </c>
      <c r="O14" s="21" t="inlineStr">
        <is>
          <t>拼箱 LCL（无柜型）</t>
        </is>
      </c>
      <c r="P14" s="21" t="inlineStr">
        <is>
          <t>不适用（海运）</t>
        </is>
      </c>
      <c r="Q14" s="21" t="inlineStr">
        <is>
          <t>10-18</t>
        </is>
      </c>
      <c r="R14" s="21" t="inlineStr">
        <is>
          <t>港到港（v1.1 口径推定）</t>
        </is>
      </c>
      <c r="S14" s="21" t="inlineStr">
        <is>
          <t>待确认</t>
        </is>
      </c>
      <c r="T14" s="21" t="inlineStr">
        <is>
          <t>无</t>
        </is>
      </c>
      <c r="U14" s="21" t="inlineStr">
        <is>
          <t>无</t>
        </is>
      </c>
      <c r="V14" s="21" t="inlineStr">
        <is>
          <t>不适用（目的港即口岸）</t>
        </is>
      </c>
      <c r="W14" s="21" t="inlineStr"/>
      <c r="X14" s="21" t="inlineStr">
        <is>
          <t>不适用</t>
        </is>
      </c>
      <c r="Y14" s="21">
        <f> 主段（USD/CBM 30–60；10-18 天）；目的口岸即目的地</f>
        <v/>
      </c>
      <c r="Z14" s="21" t="inlineStr">
        <is>
          <t>直达/少中转</t>
        </is>
      </c>
      <c r="AA14" s="28" t="inlineStr">
        <is>
          <t>背景参考</t>
        </is>
      </c>
      <c r="AB14" s="21" t="inlineStr">
        <is>
          <t>公开东南亚LCL费率（日期待核实）；SCFI 东南亚 TEU 对照 2026-09-30</t>
        </is>
      </c>
      <c r="AC14" s="21" t="inlineStr">
        <is>
          <t>2026-10-15</t>
        </is>
      </c>
      <c r="AD14" s="21" t="inlineStr">
        <is>
          <t>待核实</t>
        </is>
      </c>
      <c r="AE14" s="21" t="inlineStr"/>
      <c r="AF14" s="21" t="inlineStr">
        <is>
          <t>背景参考</t>
        </is>
      </c>
      <c r="AG14" s="21" t="inlineStr">
        <is>
          <t>2026-W41</t>
        </is>
      </c>
      <c r="AH14" s="21" t="inlineStr">
        <is>
          <t>公开东南亚LCL（雅加达）；SCFI东南亚TEU≈1,171（2026-09-30）对照</t>
        </is>
      </c>
      <c r="AI14" s="21" t="inlineStr">
        <is>
          <t>旺季+CIC</t>
        </is>
      </c>
      <c r="AJ14" s="21" t="inlineStr">
        <is>
          <t>拼箱按CBM；注意目的港CIC等附加费；公开参考，非可成交价；用于内部初步预算。对外提供金额前，核对货物条件、费用范围和有效报价。</t>
        </is>
      </c>
      <c r="AK14" s="21" t="inlineStr"/>
    </row>
    <row r="15">
      <c r="A15" s="21" t="inlineStr">
        <is>
          <t>亚太</t>
        </is>
      </c>
      <c r="B15" s="21" t="inlineStr">
        <is>
          <t>深圳</t>
        </is>
      </c>
      <c r="C15" s="21" t="inlineStr">
        <is>
          <t>机场</t>
        </is>
      </c>
      <c r="D15" s="21" t="inlineStr">
        <is>
          <t>曼谷</t>
        </is>
      </c>
      <c r="E15" s="21" t="inlineStr">
        <is>
          <t>BKK</t>
        </is>
      </c>
      <c r="F15" s="21" t="inlineStr">
        <is>
          <t>空运</t>
        </is>
      </c>
      <c r="G15" s="21" t="inlineStr">
        <is>
          <t>整机普货</t>
        </is>
      </c>
      <c r="H15" s="21" t="inlineStr">
        <is>
          <t>USD/kg</t>
        </is>
      </c>
      <c r="I15" s="21" t="inlineStr">
        <is>
          <t>2.0–4.0</t>
        </is>
      </c>
      <c r="J15" s="21" t="inlineStr">
        <is>
          <t>USD</t>
        </is>
      </c>
      <c r="K15" s="27" t="inlineStr">
        <is>
          <t>区域指数</t>
        </is>
      </c>
      <c r="L15" s="21" t="inlineStr"/>
      <c r="M15" s="21" t="inlineStr">
        <is>
          <t>机场到机场</t>
        </is>
      </c>
      <c r="N15" s="21" t="inlineStr">
        <is>
          <t>&gt;100kg（BSI 中国→东南亚区间）</t>
        </is>
      </c>
      <c r="O15" s="21" t="inlineStr">
        <is>
          <t>不适用（空运）</t>
        </is>
      </c>
      <c r="P15" s="21" t="inlineStr">
        <is>
          <t>待确认（来源未说明是否适用超尺寸/不可堆叠整机）</t>
        </is>
      </c>
      <c r="Q15" s="21" t="inlineStr">
        <is>
          <t>2-4</t>
        </is>
      </c>
      <c r="R15" s="21" t="inlineStr">
        <is>
          <t>机场到机场（v1.1 口径推定）</t>
        </is>
      </c>
      <c r="S15" s="21" t="inlineStr">
        <is>
          <t>待确认</t>
        </is>
      </c>
      <c r="T15" s="21" t="inlineStr">
        <is>
          <t>无</t>
        </is>
      </c>
      <c r="U15" s="21" t="inlineStr">
        <is>
          <t>无</t>
        </is>
      </c>
      <c r="V15" s="21" t="inlineStr">
        <is>
          <t>不适用（目的机场即口岸）</t>
        </is>
      </c>
      <c r="W15" s="21" t="inlineStr"/>
      <c r="X15" s="21" t="inlineStr">
        <is>
          <t>不适用</t>
        </is>
      </c>
      <c r="Y15" s="21">
        <f> 主段（USD/kg 2.0–4.0；2-4 天）；目的口岸即目的地</f>
        <v/>
      </c>
      <c r="Z15" s="21" t="inlineStr">
        <is>
          <t>直达/少中转</t>
        </is>
      </c>
      <c r="AA15" s="28" t="inlineStr">
        <is>
          <t>背景参考</t>
        </is>
      </c>
      <c r="AB15" s="21" t="inlineStr">
        <is>
          <t>BSI 标注2026年更新（具体日期待核实）</t>
        </is>
      </c>
      <c r="AC15" s="21" t="inlineStr">
        <is>
          <t>2026-10-15</t>
        </is>
      </c>
      <c r="AD15" s="21" t="inlineStr">
        <is>
          <t>待核实</t>
        </is>
      </c>
      <c r="AE15" s="21" t="inlineStr"/>
      <c r="AF15" s="21" t="inlineStr">
        <is>
          <t>背景参考</t>
        </is>
      </c>
      <c r="AG15" s="21" t="inlineStr">
        <is>
          <t>2026-W41</t>
        </is>
      </c>
      <c r="AH15" s="21" t="inlineStr">
        <is>
          <t>BSI中国→东南亚公开区间≈1.76–4.10</t>
        </is>
      </c>
      <c r="AI15" s="21" t="inlineStr"/>
      <c r="AJ15" s="21" t="inlineStr">
        <is>
          <t>公开参考，非可成交价；用于内部初步预算。对外提供金额前，核对货物条件、费用范围和有效报价。</t>
        </is>
      </c>
      <c r="AK15" s="21" t="inlineStr"/>
    </row>
    <row r="16">
      <c r="A16" s="21" t="inlineStr">
        <is>
          <t>亚太</t>
        </is>
      </c>
      <c r="B16" s="21" t="inlineStr">
        <is>
          <t>深圳</t>
        </is>
      </c>
      <c r="C16" s="21" t="inlineStr">
        <is>
          <t>机场</t>
        </is>
      </c>
      <c r="D16" s="21" t="inlineStr">
        <is>
          <t>吉隆坡</t>
        </is>
      </c>
      <c r="E16" s="21" t="inlineStr">
        <is>
          <t>KUL</t>
        </is>
      </c>
      <c r="F16" s="21" t="inlineStr">
        <is>
          <t>空运</t>
        </is>
      </c>
      <c r="G16" s="21" t="inlineStr">
        <is>
          <t>整机普货</t>
        </is>
      </c>
      <c r="H16" s="21" t="inlineStr">
        <is>
          <t>USD/kg</t>
        </is>
      </c>
      <c r="I16" s="21" t="inlineStr">
        <is>
          <t>2.0–4.0</t>
        </is>
      </c>
      <c r="J16" s="21" t="inlineStr">
        <is>
          <t>USD</t>
        </is>
      </c>
      <c r="K16" s="27" t="inlineStr">
        <is>
          <t>区域指数</t>
        </is>
      </c>
      <c r="L16" s="21" t="inlineStr"/>
      <c r="M16" s="21" t="inlineStr">
        <is>
          <t>机场到机场</t>
        </is>
      </c>
      <c r="N16" s="21" t="inlineStr">
        <is>
          <t>&gt;100kg（BSI 中国→东南亚区间）</t>
        </is>
      </c>
      <c r="O16" s="21" t="inlineStr">
        <is>
          <t>不适用（空运）</t>
        </is>
      </c>
      <c r="P16" s="21" t="inlineStr">
        <is>
          <t>待确认（来源未说明是否适用超尺寸/不可堆叠整机）</t>
        </is>
      </c>
      <c r="Q16" s="21" t="inlineStr">
        <is>
          <t>2-4</t>
        </is>
      </c>
      <c r="R16" s="21" t="inlineStr">
        <is>
          <t>机场到机场（v1.1 口径推定）</t>
        </is>
      </c>
      <c r="S16" s="21" t="inlineStr">
        <is>
          <t>待确认</t>
        </is>
      </c>
      <c r="T16" s="21" t="inlineStr">
        <is>
          <t>无</t>
        </is>
      </c>
      <c r="U16" s="21" t="inlineStr">
        <is>
          <t>无</t>
        </is>
      </c>
      <c r="V16" s="21" t="inlineStr">
        <is>
          <t>不适用（目的机场即口岸）</t>
        </is>
      </c>
      <c r="W16" s="21" t="inlineStr"/>
      <c r="X16" s="21" t="inlineStr">
        <is>
          <t>不适用</t>
        </is>
      </c>
      <c r="Y16" s="21">
        <f> 主段（USD/kg 2.0–4.0；2-4 天）；目的口岸即目的地</f>
        <v/>
      </c>
      <c r="Z16" s="21" t="inlineStr">
        <is>
          <t>直达/少中转</t>
        </is>
      </c>
      <c r="AA16" s="28" t="inlineStr">
        <is>
          <t>背景参考</t>
        </is>
      </c>
      <c r="AB16" s="21" t="inlineStr">
        <is>
          <t>BSI 标注2026年更新（具体日期待核实）</t>
        </is>
      </c>
      <c r="AC16" s="21" t="inlineStr">
        <is>
          <t>2026-10-15</t>
        </is>
      </c>
      <c r="AD16" s="21" t="inlineStr">
        <is>
          <t>待核实</t>
        </is>
      </c>
      <c r="AE16" s="21" t="inlineStr"/>
      <c r="AF16" s="21" t="inlineStr">
        <is>
          <t>背景参考</t>
        </is>
      </c>
      <c r="AG16" s="21" t="inlineStr">
        <is>
          <t>2026-W41</t>
        </is>
      </c>
      <c r="AH16" s="21" t="inlineStr">
        <is>
          <t>BSI中国→东南亚公开区间≈1.76–4.10</t>
        </is>
      </c>
      <c r="AI16" s="21" t="inlineStr"/>
      <c r="AJ16" s="21" t="inlineStr">
        <is>
          <t>公开参考，非可成交价；用于内部初步预算。对外提供金额前，核对货物条件、费用范围和有效报价。</t>
        </is>
      </c>
      <c r="AK16" s="21" t="inlineStr"/>
    </row>
    <row r="17">
      <c r="A17" s="21" t="inlineStr">
        <is>
          <t>亚太</t>
        </is>
      </c>
      <c r="B17" s="21" t="inlineStr">
        <is>
          <t>深圳</t>
        </is>
      </c>
      <c r="C17" s="21" t="inlineStr">
        <is>
          <t>港口</t>
        </is>
      </c>
      <c r="D17" s="21" t="inlineStr">
        <is>
          <t>胡志明</t>
        </is>
      </c>
      <c r="E17" s="21" t="inlineStr">
        <is>
          <t>SGN</t>
        </is>
      </c>
      <c r="F17" s="21" t="inlineStr">
        <is>
          <t>海运</t>
        </is>
      </c>
      <c r="G17" s="21" t="inlineStr">
        <is>
          <t>整机普货</t>
        </is>
      </c>
      <c r="H17" s="21" t="inlineStr">
        <is>
          <t>USD/CBM</t>
        </is>
      </c>
      <c r="I17" s="21" t="inlineStr">
        <is>
          <t>15–35</t>
        </is>
      </c>
      <c r="J17" s="21" t="inlineStr">
        <is>
          <t>USD</t>
        </is>
      </c>
      <c r="K17" s="27" t="inlineStr">
        <is>
          <t>区域指数</t>
        </is>
      </c>
      <c r="L17" s="21" t="inlineStr"/>
      <c r="M17" s="21" t="inlineStr">
        <is>
          <t>港到港</t>
        </is>
      </c>
      <c r="N17" s="21" t="inlineStr">
        <is>
          <t>不适用（海运）</t>
        </is>
      </c>
      <c r="O17" s="21" t="inlineStr">
        <is>
          <t>拼箱 LCL（无柜型）</t>
        </is>
      </c>
      <c r="P17" s="21" t="inlineStr">
        <is>
          <t>不适用（海运）</t>
        </is>
      </c>
      <c r="Q17" s="21" t="inlineStr">
        <is>
          <t>5-10</t>
        </is>
      </c>
      <c r="R17" s="21" t="inlineStr">
        <is>
          <t>港到港（v1.1 口径推定）</t>
        </is>
      </c>
      <c r="S17" s="21" t="inlineStr">
        <is>
          <t>待确认</t>
        </is>
      </c>
      <c r="T17" s="21" t="inlineStr">
        <is>
          <t>无</t>
        </is>
      </c>
      <c r="U17" s="21" t="inlineStr">
        <is>
          <t>无</t>
        </is>
      </c>
      <c r="V17" s="21" t="inlineStr">
        <is>
          <t>不适用（目的港即口岸）</t>
        </is>
      </c>
      <c r="W17" s="21" t="inlineStr"/>
      <c r="X17" s="21" t="inlineStr">
        <is>
          <t>不适用</t>
        </is>
      </c>
      <c r="Y17" s="21">
        <f> 主段（USD/CBM 15–35；5-10 天）；目的口岸即目的地</f>
        <v/>
      </c>
      <c r="Z17" s="21" t="inlineStr">
        <is>
          <t>直达/少中转</t>
        </is>
      </c>
      <c r="AA17" s="28" t="inlineStr">
        <is>
          <t>背景参考</t>
        </is>
      </c>
      <c r="AB17" s="21" t="inlineStr">
        <is>
          <t>公开东南亚LCL费率表（日期待核实）</t>
        </is>
      </c>
      <c r="AC17" s="21" t="inlineStr">
        <is>
          <t>2026-10-15</t>
        </is>
      </c>
      <c r="AD17" s="21" t="inlineStr">
        <is>
          <t>待核实</t>
        </is>
      </c>
      <c r="AE17" s="21" t="inlineStr"/>
      <c r="AF17" s="21" t="inlineStr">
        <is>
          <t>背景参考</t>
        </is>
      </c>
      <c r="AG17" s="21" t="inlineStr">
        <is>
          <t>2026-W41</t>
        </is>
      </c>
      <c r="AH17" s="21" t="inlineStr">
        <is>
          <t>公开东南亚LCL（胡志明/海防）</t>
        </is>
      </c>
      <c r="AI17" s="21" t="inlineStr"/>
      <c r="AJ17" s="21" t="inlineStr">
        <is>
          <t>拼箱按CBM；公开参考，非可成交价；用于内部初步预算。对外提供金额前，核对货物条件、费用范围和有效报价。</t>
        </is>
      </c>
      <c r="AK17" s="21" t="inlineStr"/>
    </row>
    <row r="18">
      <c r="A18" s="21" t="inlineStr">
        <is>
          <t>亚太</t>
        </is>
      </c>
      <c r="B18" s="21" t="inlineStr">
        <is>
          <t>深圳</t>
        </is>
      </c>
      <c r="C18" s="21" t="inlineStr">
        <is>
          <t>港口</t>
        </is>
      </c>
      <c r="D18" s="21" t="inlineStr">
        <is>
          <t>胡志明</t>
        </is>
      </c>
      <c r="E18" s="21" t="inlineStr">
        <is>
          <t>SGN</t>
        </is>
      </c>
      <c r="F18" s="21" t="inlineStr">
        <is>
          <t>海运</t>
        </is>
      </c>
      <c r="G18" s="21" t="inlineStr">
        <is>
          <t>整机危险品</t>
        </is>
      </c>
      <c r="H18" s="21" t="inlineStr">
        <is>
          <t>USD/40'</t>
        </is>
      </c>
      <c r="I18" s="21" t="inlineStr">
        <is>
          <t>400–800</t>
        </is>
      </c>
      <c r="J18" s="21" t="inlineStr">
        <is>
          <t>USD</t>
        </is>
      </c>
      <c r="K18" s="29" t="inlineStr">
        <is>
          <t>模型估算</t>
        </is>
      </c>
      <c r="L18" s="21" t="inlineStr">
        <is>
          <t>公开东南亚 FCL 40' 普柜区间 + 危柜附加推算；原始依据：公开东南亚FCL 40'区间≈250–550普柜 + 危柜附加</t>
        </is>
      </c>
      <c r="M18" s="21" t="inlineStr">
        <is>
          <t>港到港</t>
        </is>
      </c>
      <c r="N18" s="21" t="inlineStr">
        <is>
          <t>不适用（海运）</t>
        </is>
      </c>
      <c r="O18" s="21" t="inlineStr">
        <is>
          <t>40'，GP/HQ 待确认</t>
        </is>
      </c>
      <c r="P18" s="21" t="inlineStr">
        <is>
          <t>不适用（海运）</t>
        </is>
      </c>
      <c r="Q18" s="21" t="inlineStr">
        <is>
          <t>5-12</t>
        </is>
      </c>
      <c r="R18" s="21" t="inlineStr">
        <is>
          <t>港到港（v1.1 口径推定）</t>
        </is>
      </c>
      <c r="S18" s="21" t="inlineStr">
        <is>
          <t>待确认</t>
        </is>
      </c>
      <c r="T18" s="21" t="inlineStr">
        <is>
          <t>无</t>
        </is>
      </c>
      <c r="U18" s="21" t="inlineStr">
        <is>
          <t>无</t>
        </is>
      </c>
      <c r="V18" s="21" t="inlineStr">
        <is>
          <t>不适用（目的港即口岸）</t>
        </is>
      </c>
      <c r="W18" s="21" t="inlineStr"/>
      <c r="X18" s="21" t="inlineStr">
        <is>
          <t>不适用</t>
        </is>
      </c>
      <c r="Y18" s="21">
        <f> 主段（USD/40' 400–800；5-12 天）；目的口岸即目的地</f>
        <v/>
      </c>
      <c r="Z18" s="21" t="inlineStr">
        <is>
          <t>直达/少中转</t>
        </is>
      </c>
      <c r="AA18" s="28" t="inlineStr">
        <is>
          <t>背景参考</t>
        </is>
      </c>
      <c r="AB18" s="21" t="inlineStr">
        <is>
          <t>公开东南亚FCL区间（日期待核实）</t>
        </is>
      </c>
      <c r="AC18" s="21" t="inlineStr">
        <is>
          <t>2026-10-15</t>
        </is>
      </c>
      <c r="AD18" s="21" t="inlineStr">
        <is>
          <t>不适用（估算值，随基础数据更新）</t>
        </is>
      </c>
      <c r="AE18" s="21" t="inlineStr"/>
      <c r="AF18" s="21" t="inlineStr">
        <is>
          <t>背景参考</t>
        </is>
      </c>
      <c r="AG18" s="21" t="inlineStr">
        <is>
          <t>2026-W41</t>
        </is>
      </c>
      <c r="AH18" s="21" t="inlineStr">
        <is>
          <t>公开东南亚FCL 40'区间≈250–550普柜 + 危柜附加</t>
        </is>
      </c>
      <c r="AI18" s="21" t="inlineStr">
        <is>
          <t>危柜溢价</t>
        </is>
      </c>
      <c r="AJ18" s="21" t="inlineStr">
        <is>
          <t>短程危柜附加占比高；公开参考，非可成交价；用于内部初步预算。对外提供金额前，核对货物条件、费用范围和有效报价。</t>
        </is>
      </c>
      <c r="AK18" s="21" t="inlineStr"/>
    </row>
    <row r="19">
      <c r="A19" s="21" t="inlineStr">
        <is>
          <t>亚太</t>
        </is>
      </c>
      <c r="B19" s="21" t="inlineStr">
        <is>
          <t>上海</t>
        </is>
      </c>
      <c r="C19" s="21" t="inlineStr">
        <is>
          <t>港口</t>
        </is>
      </c>
      <c r="D19" s="21" t="inlineStr">
        <is>
          <t>雅加达</t>
        </is>
      </c>
      <c r="E19" s="21" t="inlineStr">
        <is>
          <t>JKT</t>
        </is>
      </c>
      <c r="F19" s="21" t="inlineStr">
        <is>
          <t>海运</t>
        </is>
      </c>
      <c r="G19" s="21" t="inlineStr">
        <is>
          <t>整机危险品</t>
        </is>
      </c>
      <c r="H19" s="21" t="inlineStr">
        <is>
          <t>USD/40'</t>
        </is>
      </c>
      <c r="I19" s="21" t="inlineStr">
        <is>
          <t>700–1,500</t>
        </is>
      </c>
      <c r="J19" s="21" t="inlineStr">
        <is>
          <t>USD</t>
        </is>
      </c>
      <c r="K19" s="29" t="inlineStr">
        <is>
          <t>模型估算</t>
        </is>
      </c>
      <c r="L19" s="21" t="inlineStr">
        <is>
          <t>公开东南亚 FCL 40' 雅加达区间 + 危柜附加推算；原始依据：公开东南亚FCL 40'雅加达区间 + 危柜附加</t>
        </is>
      </c>
      <c r="M19" s="21" t="inlineStr">
        <is>
          <t>港到港</t>
        </is>
      </c>
      <c r="N19" s="21" t="inlineStr">
        <is>
          <t>不适用（海运）</t>
        </is>
      </c>
      <c r="O19" s="21" t="inlineStr">
        <is>
          <t>40'，GP/HQ 待确认</t>
        </is>
      </c>
      <c r="P19" s="21" t="inlineStr">
        <is>
          <t>不适用（海运）</t>
        </is>
      </c>
      <c r="Q19" s="21" t="inlineStr">
        <is>
          <t>10-20</t>
        </is>
      </c>
      <c r="R19" s="21" t="inlineStr">
        <is>
          <t>港到港（v1.1 口径推定）</t>
        </is>
      </c>
      <c r="S19" s="21" t="inlineStr">
        <is>
          <t>待确认</t>
        </is>
      </c>
      <c r="T19" s="21" t="inlineStr">
        <is>
          <t>无</t>
        </is>
      </c>
      <c r="U19" s="21" t="inlineStr">
        <is>
          <t>无</t>
        </is>
      </c>
      <c r="V19" s="21" t="inlineStr">
        <is>
          <t>不适用（目的港即口岸）</t>
        </is>
      </c>
      <c r="W19" s="21" t="inlineStr"/>
      <c r="X19" s="21" t="inlineStr">
        <is>
          <t>不适用</t>
        </is>
      </c>
      <c r="Y19" s="21">
        <f> 主段（USD/40' 700–1,500；10-20 天）；目的口岸即目的地</f>
        <v/>
      </c>
      <c r="Z19" s="21" t="inlineStr">
        <is>
          <t>直达/少中转</t>
        </is>
      </c>
      <c r="AA19" s="28" t="inlineStr">
        <is>
          <t>背景参考</t>
        </is>
      </c>
      <c r="AB19" s="21" t="inlineStr">
        <is>
          <t>公开东南亚FCL区间（日期待核实）</t>
        </is>
      </c>
      <c r="AC19" s="21" t="inlineStr">
        <is>
          <t>2026-10-15</t>
        </is>
      </c>
      <c r="AD19" s="21" t="inlineStr">
        <is>
          <t>不适用（估算值，随基础数据更新）</t>
        </is>
      </c>
      <c r="AE19" s="21" t="inlineStr"/>
      <c r="AF19" s="21" t="inlineStr">
        <is>
          <t>背景参考</t>
        </is>
      </c>
      <c r="AG19" s="21" t="inlineStr">
        <is>
          <t>2026-W41</t>
        </is>
      </c>
      <c r="AH19" s="21" t="inlineStr">
        <is>
          <t>公开东南亚FCL 40'雅加达区间 + 危柜附加</t>
        </is>
      </c>
      <c r="AI19" s="21" t="inlineStr">
        <is>
          <t>危柜溢价</t>
        </is>
      </c>
      <c r="AJ19" s="21" t="inlineStr">
        <is>
          <t>公开参考，非可成交价；用于内部初步预算。对外提供金额前，核对货物条件、费用范围和有效报价。</t>
        </is>
      </c>
      <c r="AK19" s="21" t="inlineStr"/>
    </row>
    <row r="20">
      <c r="A20" s="21" t="inlineStr">
        <is>
          <t>拉美</t>
        </is>
      </c>
      <c r="B20" s="21" t="inlineStr">
        <is>
          <t>上海</t>
        </is>
      </c>
      <c r="C20" s="21" t="inlineStr">
        <is>
          <t>机场</t>
        </is>
      </c>
      <c r="D20" s="21" t="inlineStr">
        <is>
          <t>布宜诺斯艾利斯</t>
        </is>
      </c>
      <c r="E20" s="21" t="inlineStr">
        <is>
          <t>EZE</t>
        </is>
      </c>
      <c r="F20" s="21" t="inlineStr">
        <is>
          <t>空运</t>
        </is>
      </c>
      <c r="G20" s="21" t="inlineStr">
        <is>
          <t>整机普货</t>
        </is>
      </c>
      <c r="H20" s="21" t="inlineStr">
        <is>
          <t>USD/kg</t>
        </is>
      </c>
      <c r="I20" s="21" t="inlineStr">
        <is>
          <t>8.5–9.5</t>
        </is>
      </c>
      <c r="J20" s="21" t="inlineStr">
        <is>
          <t>USD</t>
        </is>
      </c>
      <c r="K20" s="27" t="inlineStr">
        <is>
          <t>区域指数</t>
        </is>
      </c>
      <c r="L20" s="21" t="inlineStr"/>
      <c r="M20" s="21" t="inlineStr">
        <is>
          <t>机场到机场</t>
        </is>
      </c>
      <c r="N20" s="21" t="inlineStr">
        <is>
          <t>&gt;100kg（BSI 中国→南美区间）</t>
        </is>
      </c>
      <c r="O20" s="21" t="inlineStr">
        <is>
          <t>不适用（空运）</t>
        </is>
      </c>
      <c r="P20" s="21" t="inlineStr">
        <is>
          <t>待确认（来源未说明是否适用超尺寸/不可堆叠整机）</t>
        </is>
      </c>
      <c r="Q20" s="21" t="inlineStr">
        <is>
          <t>8-14</t>
        </is>
      </c>
      <c r="R20" s="21" t="inlineStr">
        <is>
          <t>机场到机场（v1.1 口径推定）</t>
        </is>
      </c>
      <c r="S20" s="21" t="inlineStr">
        <is>
          <t>经中转（多中转，中转点待确认）</t>
        </is>
      </c>
      <c r="T20" s="21" t="inlineStr">
        <is>
          <t>无</t>
        </is>
      </c>
      <c r="U20" s="21" t="inlineStr">
        <is>
          <t>无</t>
        </is>
      </c>
      <c r="V20" s="21" t="inlineStr">
        <is>
          <t>不适用（目的机场即口岸）</t>
        </is>
      </c>
      <c r="W20" s="21" t="inlineStr"/>
      <c r="X20" s="21" t="inlineStr">
        <is>
          <t>不适用</t>
        </is>
      </c>
      <c r="Y20" s="21">
        <f> 主段（USD/kg 8.5–9.5；8-14 天）；目的口岸即目的地</f>
        <v/>
      </c>
      <c r="Z20" s="21" t="inlineStr">
        <is>
          <t>空卡（多中转）</t>
        </is>
      </c>
      <c r="AA20" s="28" t="inlineStr">
        <is>
          <t>背景参考</t>
        </is>
      </c>
      <c r="AB20" s="21" t="inlineStr">
        <is>
          <t>BSI 标注2026年更新（具体日期待核实）</t>
        </is>
      </c>
      <c r="AC20" s="21" t="inlineStr">
        <is>
          <t>2026-10-15</t>
        </is>
      </c>
      <c r="AD20" s="21" t="inlineStr">
        <is>
          <t>待核实</t>
        </is>
      </c>
      <c r="AE20" s="21" t="inlineStr"/>
      <c r="AF20" s="21" t="inlineStr">
        <is>
          <t>背景参考</t>
        </is>
      </c>
      <c r="AG20" s="21" t="inlineStr">
        <is>
          <t>2026-W41</t>
        </is>
      </c>
      <c r="AH20" s="21" t="inlineStr">
        <is>
          <t>BSI中国→南美公开区间≈8.50–9.24（&gt;100kg，2026）</t>
        </is>
      </c>
      <c r="AI20" s="21" t="inlineStr">
        <is>
          <t>多中转</t>
        </is>
      </c>
      <c r="AJ20" s="21" t="inlineStr">
        <is>
          <t>公开参考，非可成交价；多中转舱位紧时上浮大；用于内部初步预算。对外提供金额前，核对货物条件、费用范围和有效报价。</t>
        </is>
      </c>
      <c r="AK20" s="21" t="inlineStr"/>
    </row>
    <row r="21">
      <c r="A21" s="21" t="inlineStr">
        <is>
          <t>拉美</t>
        </is>
      </c>
      <c r="B21" s="21" t="inlineStr">
        <is>
          <t>上海</t>
        </is>
      </c>
      <c r="C21" s="21" t="inlineStr">
        <is>
          <t>港口</t>
        </is>
      </c>
      <c r="D21" s="21" t="inlineStr">
        <is>
          <t>智利</t>
        </is>
      </c>
      <c r="E21" s="21" t="inlineStr">
        <is>
          <t>VAP/SCL</t>
        </is>
      </c>
      <c r="F21" s="21" t="inlineStr">
        <is>
          <t>海运</t>
        </is>
      </c>
      <c r="G21" s="21" t="inlineStr">
        <is>
          <t>整机普货</t>
        </is>
      </c>
      <c r="H21" s="21" t="inlineStr">
        <is>
          <t>USD/CBM</t>
        </is>
      </c>
      <c r="I21" s="21" t="inlineStr">
        <is>
          <t>150–250</t>
        </is>
      </c>
      <c r="J21" s="21" t="inlineStr">
        <is>
          <t>USD</t>
        </is>
      </c>
      <c r="K21" s="29" t="inlineStr">
        <is>
          <t>模型估算</t>
        </is>
      </c>
      <c r="L21" s="21" t="inlineStr">
        <is>
          <t>南美西岸公开 LCL 推算；原始依据：南美西岸公开LCL推算；SCFI南美相关高位（Santos等TEU数千美元级）作对照</t>
        </is>
      </c>
      <c r="M21" s="21" t="inlineStr">
        <is>
          <t>港到港</t>
        </is>
      </c>
      <c r="N21" s="21" t="inlineStr">
        <is>
          <t>不适用（海运）</t>
        </is>
      </c>
      <c r="O21" s="21" t="inlineStr">
        <is>
          <t>拼箱 LCL（无柜型）</t>
        </is>
      </c>
      <c r="P21" s="21" t="inlineStr">
        <is>
          <t>不适用（海运）</t>
        </is>
      </c>
      <c r="Q21" s="21" t="inlineStr">
        <is>
          <t>35-50</t>
        </is>
      </c>
      <c r="R21" s="21" t="inlineStr">
        <is>
          <t>港到港（v1.1 口径推定）</t>
        </is>
      </c>
      <c r="S21" s="21" t="inlineStr">
        <is>
          <t>经枢纽港/支线转运（v1.1标注海卡/支线，具体待确认）</t>
        </is>
      </c>
      <c r="T21" s="21" t="inlineStr">
        <is>
          <t>无</t>
        </is>
      </c>
      <c r="U21" s="21" t="inlineStr">
        <is>
          <t>待确认</t>
        </is>
      </c>
      <c r="V21" s="21" t="inlineStr">
        <is>
          <t>不适用（目的港即口岸）</t>
        </is>
      </c>
      <c r="W21" s="21" t="inlineStr"/>
      <c r="X21" s="21" t="inlineStr">
        <is>
          <t>不适用</t>
        </is>
      </c>
      <c r="Y21" s="21" t="inlineStr">
        <is>
          <t>待核实（主段与内陆/末段须均有数据才显示）</t>
        </is>
      </c>
      <c r="Z21" s="21" t="inlineStr">
        <is>
          <t>海卡/支线</t>
        </is>
      </c>
      <c r="AA21" s="28" t="inlineStr">
        <is>
          <t>背景参考</t>
        </is>
      </c>
      <c r="AB21" s="21" t="inlineStr">
        <is>
          <t>日期待核实（SCFI 南美对照 2026-09-30）</t>
        </is>
      </c>
      <c r="AC21" s="21" t="inlineStr">
        <is>
          <t>2026-10-15</t>
        </is>
      </c>
      <c r="AD21" s="21" t="inlineStr">
        <is>
          <t>不适用（估算值，随基础数据更新）</t>
        </is>
      </c>
      <c r="AE21" s="21" t="inlineStr"/>
      <c r="AF21" s="21" t="inlineStr">
        <is>
          <t>背景参考</t>
        </is>
      </c>
      <c r="AG21" s="21" t="inlineStr">
        <is>
          <t>2026-W41</t>
        </is>
      </c>
      <c r="AH21" s="21" t="inlineStr">
        <is>
          <t>南美西岸公开LCL推算；SCFI南美相关高位（Santos等TEU数千美元级）作对照</t>
        </is>
      </c>
      <c r="AI21" s="21" t="inlineStr">
        <is>
          <t>高位震荡</t>
        </is>
      </c>
      <c r="AJ21" s="21" t="inlineStr">
        <is>
          <t>默认瓦尔帕莱索；公开LCL偏少，区间较宽；公开参考，非可成交价；用于内部初步预算。对外提供金额前，核对货物条件、费用范围和有效报价。</t>
        </is>
      </c>
      <c r="AK21" s="21" t="inlineStr"/>
    </row>
    <row r="22">
      <c r="A22" s="21" t="inlineStr">
        <is>
          <t>拉美</t>
        </is>
      </c>
      <c r="B22" s="21" t="inlineStr">
        <is>
          <t>上海</t>
        </is>
      </c>
      <c r="C22" s="21" t="inlineStr">
        <is>
          <t>港口</t>
        </is>
      </c>
      <c r="D22" s="21" t="inlineStr">
        <is>
          <t>智利</t>
        </is>
      </c>
      <c r="E22" s="21" t="inlineStr">
        <is>
          <t>VAP/SCL</t>
        </is>
      </c>
      <c r="F22" s="21" t="inlineStr">
        <is>
          <t>海运</t>
        </is>
      </c>
      <c r="G22" s="21" t="inlineStr">
        <is>
          <t>整机危险品</t>
        </is>
      </c>
      <c r="H22" s="21" t="inlineStr">
        <is>
          <t>USD/40'</t>
        </is>
      </c>
      <c r="I22" s="21" t="inlineStr">
        <is>
          <t>7,000–12,000</t>
        </is>
      </c>
      <c r="J22" s="21" t="inlineStr">
        <is>
          <t>USD</t>
        </is>
      </c>
      <c r="K22" s="29" t="inlineStr">
        <is>
          <t>模型估算</t>
        </is>
      </c>
      <c r="L22" s="21" t="inlineStr">
        <is>
          <t>南美线 SCFI 相关高位（TEU）推算 FEU + 危柜溢价；原始依据：南美线SCFI相关高位（TEU数千）推算FEU + 危柜溢价；公开危柜牌价稀缺</t>
        </is>
      </c>
      <c r="M22" s="21" t="inlineStr">
        <is>
          <t>港到港</t>
        </is>
      </c>
      <c r="N22" s="21" t="inlineStr">
        <is>
          <t>不适用（海运）</t>
        </is>
      </c>
      <c r="O22" s="21" t="inlineStr">
        <is>
          <t>40'，GP/HQ 待确认</t>
        </is>
      </c>
      <c r="P22" s="21" t="inlineStr">
        <is>
          <t>不适用（海运）</t>
        </is>
      </c>
      <c r="Q22" s="21" t="inlineStr">
        <is>
          <t>35-50</t>
        </is>
      </c>
      <c r="R22" s="21" t="inlineStr">
        <is>
          <t>港到港（v1.1 口径推定）</t>
        </is>
      </c>
      <c r="S22" s="21" t="inlineStr">
        <is>
          <t>经枢纽港/支线转运（v1.1标注海卡/支线，具体待确认）</t>
        </is>
      </c>
      <c r="T22" s="21" t="inlineStr">
        <is>
          <t>无</t>
        </is>
      </c>
      <c r="U22" s="21" t="inlineStr">
        <is>
          <t>待确认</t>
        </is>
      </c>
      <c r="V22" s="21" t="inlineStr">
        <is>
          <t>不适用（目的港即口岸）</t>
        </is>
      </c>
      <c r="W22" s="21" t="inlineStr"/>
      <c r="X22" s="21" t="inlineStr">
        <is>
          <t>不适用</t>
        </is>
      </c>
      <c r="Y22" s="21" t="inlineStr">
        <is>
          <t>待核实（主段与内陆/末段须均有数据才显示）</t>
        </is>
      </c>
      <c r="Z22" s="21" t="inlineStr">
        <is>
          <t>海卡/支线</t>
        </is>
      </c>
      <c r="AA22" s="28" t="inlineStr">
        <is>
          <t>背景参考</t>
        </is>
      </c>
      <c r="AB22" s="21" t="inlineStr">
        <is>
          <t>日期待核实（SCFI 南美对照 2026-09-30）</t>
        </is>
      </c>
      <c r="AC22" s="21" t="inlineStr">
        <is>
          <t>2026-10-15</t>
        </is>
      </c>
      <c r="AD22" s="21" t="inlineStr">
        <is>
          <t>不适用（估算值，随基础数据更新）</t>
        </is>
      </c>
      <c r="AE22" s="21" t="inlineStr"/>
      <c r="AF22" s="21" t="inlineStr">
        <is>
          <t>背景参考</t>
        </is>
      </c>
      <c r="AG22" s="21" t="inlineStr">
        <is>
          <t>2026-W41</t>
        </is>
      </c>
      <c r="AH22" s="21" t="inlineStr">
        <is>
          <t>南美线SCFI相关高位（TEU数千）推算FEU + 危柜溢价；公开危柜牌价稀缺</t>
        </is>
      </c>
      <c r="AI22" s="21" t="inlineStr">
        <is>
          <t>高位+危柜</t>
        </is>
      </c>
      <c r="AJ22" s="21" t="inlineStr">
        <is>
          <t>区间很宽，务必实询；公开参考，非可成交价；用于内部初步预算。对外提供金额前，核对货物条件、费用范围和有效报价。</t>
        </is>
      </c>
      <c r="AK22" s="21" t="inlineStr"/>
    </row>
    <row r="23">
      <c r="A23" s="21" t="inlineStr">
        <is>
          <t>拉美</t>
        </is>
      </c>
      <c r="B23" s="21" t="inlineStr">
        <is>
          <t>上海</t>
        </is>
      </c>
      <c r="C23" s="21" t="inlineStr">
        <is>
          <t>机场</t>
        </is>
      </c>
      <c r="D23" s="21" t="inlineStr">
        <is>
          <t>圣保罗</t>
        </is>
      </c>
      <c r="E23" s="21" t="inlineStr">
        <is>
          <t>GRU</t>
        </is>
      </c>
      <c r="F23" s="21" t="inlineStr">
        <is>
          <t>空运</t>
        </is>
      </c>
      <c r="G23" s="21" t="inlineStr">
        <is>
          <t>整机普货</t>
        </is>
      </c>
      <c r="H23" s="21" t="inlineStr">
        <is>
          <t>USD/kg</t>
        </is>
      </c>
      <c r="I23" s="21" t="inlineStr">
        <is>
          <t>8.5–11.5</t>
        </is>
      </c>
      <c r="J23" s="21" t="inlineStr">
        <is>
          <t>USD</t>
        </is>
      </c>
      <c r="K23" s="30" t="inlineStr">
        <is>
          <t>公开报价</t>
        </is>
      </c>
      <c r="L23" s="21" t="inlineStr"/>
      <c r="M23" s="21" t="inlineStr">
        <is>
          <t>机场到机场</t>
        </is>
      </c>
      <c r="N23" s="21" t="inlineStr">
        <is>
          <t>Seabay 牌价 100–300kg；Sino-Shipping ≥1000kg；BSI &gt;100kg</t>
        </is>
      </c>
      <c r="O23" s="21" t="inlineStr">
        <is>
          <t>不适用（空运）</t>
        </is>
      </c>
      <c r="P23" s="21" t="inlineStr">
        <is>
          <t>待确认（来源未说明是否适用超尺寸/不可堆叠整机）</t>
        </is>
      </c>
      <c r="Q23" s="21" t="inlineStr">
        <is>
          <t>5-9</t>
        </is>
      </c>
      <c r="R23" s="21" t="inlineStr">
        <is>
          <t>机场到机场（v1.1 口径推定）</t>
        </is>
      </c>
      <c r="S23" s="21" t="inlineStr">
        <is>
          <t>几乎无直达，多经中东/欧美中转（具体待确认）</t>
        </is>
      </c>
      <c r="T23" s="21" t="inlineStr">
        <is>
          <t>无</t>
        </is>
      </c>
      <c r="U23" s="21" t="inlineStr">
        <is>
          <t>无</t>
        </is>
      </c>
      <c r="V23" s="21" t="inlineStr">
        <is>
          <t>不适用（目的机场即口岸）</t>
        </is>
      </c>
      <c r="W23" s="21" t="inlineStr"/>
      <c r="X23" s="21" t="inlineStr">
        <is>
          <t>不适用</t>
        </is>
      </c>
      <c r="Y23" s="21">
        <f> 主段（USD/kg 8.5–11.5；5-9 天）；目的口岸即目的地</f>
        <v/>
      </c>
      <c r="Z23" s="21" t="inlineStr">
        <is>
          <t>空卡（多中转）</t>
        </is>
      </c>
      <c r="AA23" s="21" t="inlineStr">
        <is>
          <t>当期行情</t>
        </is>
      </c>
      <c r="AB23" s="21" t="inlineStr">
        <is>
          <t>Seabay（发布日待核实，报价到期 10-16～10-21）；Sino-Shipping 2026-10；BSI 2026</t>
        </is>
      </c>
      <c r="AC23" s="21" t="inlineStr">
        <is>
          <t>2026-10-15</t>
        </is>
      </c>
      <c r="AD23" s="21" t="inlineStr">
        <is>
          <t>2026-10-16～10-21（Seabay 牌价到期日，取最早）</t>
        </is>
      </c>
      <c r="AE23" s="21" t="inlineStr">
        <is>
          <t>2026-10-16</t>
        </is>
      </c>
      <c r="AF23" s="21" t="inlineStr">
        <is>
          <t>有效（到期日 2026-10-16）</t>
        </is>
      </c>
      <c r="AG23" s="21" t="inlineStr">
        <is>
          <t>2026-W41</t>
        </is>
      </c>
      <c r="AH23" s="21" t="inlineStr">
        <is>
          <t>Seabay PVG→GRU牌价≈10.3–11.8（TK/QR/O3，100–300kg，2026-10-19/21）；UA低价≈7.1–8.6；Sino-Shipping 10月≥1000kg≈10.2；BSI中国→南美≈8.50–9.24</t>
        </is>
      </c>
      <c r="AI23" s="21" t="inlineStr">
        <is>
          <t>Q4旺季上浮</t>
        </is>
      </c>
      <c r="AJ23" s="21" t="inlineStr">
        <is>
          <t>公开参考，非可成交价；GRU为巴西主要货运口岸，几乎无直达，多经中东/欧美中转；区间下沿为低价航司，成交需实询；用于内部初步预算。对外提供金额前，核对货物条件、费用范围和有效报价。</t>
        </is>
      </c>
      <c r="AK23" s="21" t="inlineStr"/>
    </row>
    <row r="24">
      <c r="A24" s="21" t="inlineStr">
        <is>
          <t>拉美</t>
        </is>
      </c>
      <c r="B24" s="21" t="inlineStr">
        <is>
          <t>上海</t>
        </is>
      </c>
      <c r="C24" s="21" t="inlineStr">
        <is>
          <t>港口</t>
        </is>
      </c>
      <c r="D24" s="21" t="inlineStr">
        <is>
          <t>圣保罗</t>
        </is>
      </c>
      <c r="E24" s="21" t="inlineStr">
        <is>
          <t>Santos(SSZ)</t>
        </is>
      </c>
      <c r="F24" s="21" t="inlineStr">
        <is>
          <t>海运</t>
        </is>
      </c>
      <c r="G24" s="21" t="inlineStr">
        <is>
          <t>整机普货</t>
        </is>
      </c>
      <c r="H24" s="21" t="inlineStr">
        <is>
          <t>USD/CBM</t>
        </is>
      </c>
      <c r="I24" s="21" t="inlineStr">
        <is>
          <t>90–220</t>
        </is>
      </c>
      <c r="J24" s="21" t="inlineStr">
        <is>
          <t>USD</t>
        </is>
      </c>
      <c r="K24" s="30" t="inlineStr">
        <is>
          <t>公开报价</t>
        </is>
      </c>
      <c r="L24" s="21" t="inlineStr"/>
      <c r="M24" s="21" t="inlineStr">
        <is>
          <t>港到港</t>
        </is>
      </c>
      <c r="N24" s="21" t="inlineStr">
        <is>
          <t>不适用（海运）</t>
        </is>
      </c>
      <c r="O24" s="21" t="inlineStr">
        <is>
          <t>拼箱 LCL（无柜型）</t>
        </is>
      </c>
      <c r="P24" s="21" t="inlineStr">
        <is>
          <t>不适用（海运）</t>
        </is>
      </c>
      <c r="Q24" s="21" t="inlineStr">
        <is>
          <t>35-48</t>
        </is>
      </c>
      <c r="R24" s="21" t="inlineStr">
        <is>
          <t>港到港（v1.1 口径推定）</t>
        </is>
      </c>
      <c r="S24" s="21" t="inlineStr">
        <is>
          <t>待确认</t>
        </is>
      </c>
      <c r="T24" s="21" t="inlineStr">
        <is>
          <t>无</t>
        </is>
      </c>
      <c r="U24" s="21" t="inlineStr">
        <is>
          <t>无</t>
        </is>
      </c>
      <c r="V24" s="21" t="inlineStr">
        <is>
          <t>不适用（目的港即口岸）</t>
        </is>
      </c>
      <c r="W24" s="21" t="inlineStr"/>
      <c r="X24" s="21" t="inlineStr">
        <is>
          <t>不适用</t>
        </is>
      </c>
      <c r="Y24" s="21">
        <f> 主段（USD/CBM 90–220；35-48 天）；目的口岸即目的地</f>
        <v/>
      </c>
      <c r="Z24" s="21" t="inlineStr">
        <is>
          <t>直达/少中转</t>
        </is>
      </c>
      <c r="AA24" s="21" t="inlineStr">
        <is>
          <t>当期行情</t>
        </is>
      </c>
      <c r="AB24" s="21" t="inlineStr">
        <is>
          <t>Sino-Shipping 2026-10；DTFU 2026；Flexport（日期待核实）</t>
        </is>
      </c>
      <c r="AC24" s="21" t="inlineStr">
        <is>
          <t>2026-10-15</t>
        </is>
      </c>
      <c r="AD24" s="21" t="inlineStr">
        <is>
          <t>待核实（各来源有效期未标注）</t>
        </is>
      </c>
      <c r="AE24" s="21" t="inlineStr"/>
      <c r="AF24" s="21" t="inlineStr">
        <is>
          <t>有效（无到期日）</t>
        </is>
      </c>
      <c r="AG24" s="21" t="inlineStr">
        <is>
          <t>2026-W41</t>
        </is>
      </c>
      <c r="AH24" s="21" t="inlineStr">
        <is>
          <t>Sino-Shipping 10月LCL Santos≈90；DTFU 2026上海→Santos≈120–220；SHAQ报价≈380（偏高，作异常上沿不计入）；Flexport宁波→Santos 5CBM≈835–885（≈167–177/CBM）</t>
        </is>
      </c>
      <c r="AI24" s="21" t="inlineStr">
        <is>
          <t>LCL拼箱班次少</t>
        </is>
      </c>
      <c r="AJ24" s="21" t="inlineStr">
        <is>
          <t>拼箱按CBM；港到港，不含Santos→圣保罗市区拖运、CFS及巴西税费；公开参考，非可成交价；用于内部初步预算。对外提供金额前，核对货物条件、费用范围和有效报价。</t>
        </is>
      </c>
      <c r="AK24" s="21" t="inlineStr"/>
    </row>
    <row r="25">
      <c r="A25" s="21" t="inlineStr">
        <is>
          <t>拉美</t>
        </is>
      </c>
      <c r="B25" s="21" t="inlineStr">
        <is>
          <t>上海</t>
        </is>
      </c>
      <c r="C25" s="21" t="inlineStr">
        <is>
          <t>港口</t>
        </is>
      </c>
      <c r="D25" s="21" t="inlineStr">
        <is>
          <t>圣保罗</t>
        </is>
      </c>
      <c r="E25" s="21" t="inlineStr">
        <is>
          <t>Santos(SSZ)</t>
        </is>
      </c>
      <c r="F25" s="21" t="inlineStr">
        <is>
          <t>海运</t>
        </is>
      </c>
      <c r="G25" s="21" t="inlineStr">
        <is>
          <t>整机危险品</t>
        </is>
      </c>
      <c r="H25" s="21" t="inlineStr">
        <is>
          <t>USD/40'</t>
        </is>
      </c>
      <c r="I25" s="21" t="inlineStr">
        <is>
          <t>7,000–9,500</t>
        </is>
      </c>
      <c r="J25" s="21" t="inlineStr">
        <is>
          <t>USD</t>
        </is>
      </c>
      <c r="K25" s="29" t="inlineStr">
        <is>
          <t>模型估算</t>
        </is>
      </c>
      <c r="L25" s="21" t="inlineStr">
        <is>
          <t>SCFI 南美 Santos + 40GP 公开普柜价 + 危柜溢价约 +20%～40%（示意）；原始依据：SCFI南美(Santos)≈5,980/TEU（2026-09-30，周降8.4%）；Global Resources 40GP≈6,800–7,100（9/15–10/14）；Sino-Shipping 10月40GP≈5,490–6,710；危柜溢价示意+20%～40%</t>
        </is>
      </c>
      <c r="M25" s="21" t="inlineStr">
        <is>
          <t>港到港</t>
        </is>
      </c>
      <c r="N25" s="21" t="inlineStr">
        <is>
          <t>不适用（海运）</t>
        </is>
      </c>
      <c r="O25" s="21" t="inlineStr">
        <is>
          <t>40GP（普柜来源标注 40GP；危柜部分为估算）</t>
        </is>
      </c>
      <c r="P25" s="21" t="inlineStr">
        <is>
          <t>不适用（海运）</t>
        </is>
      </c>
      <c r="Q25" s="21" t="inlineStr">
        <is>
          <t>30-45</t>
        </is>
      </c>
      <c r="R25" s="21" t="inlineStr">
        <is>
          <t>港到港（v1.1 口径推定）</t>
        </is>
      </c>
      <c r="S25" s="21" t="inlineStr">
        <is>
          <t>待确认</t>
        </is>
      </c>
      <c r="T25" s="21" t="inlineStr">
        <is>
          <t>无</t>
        </is>
      </c>
      <c r="U25" s="21" t="inlineStr">
        <is>
          <t>无</t>
        </is>
      </c>
      <c r="V25" s="21" t="inlineStr">
        <is>
          <t>不适用（目的港即口岸）</t>
        </is>
      </c>
      <c r="W25" s="21" t="inlineStr"/>
      <c r="X25" s="21" t="inlineStr">
        <is>
          <t>不适用</t>
        </is>
      </c>
      <c r="Y25" s="21">
        <f> 主段（USD/40' 7,000–9,500；30-45 天）；目的口岸即目的地</f>
        <v/>
      </c>
      <c r="Z25" s="21" t="inlineStr">
        <is>
          <t>直达/少中转</t>
        </is>
      </c>
      <c r="AA25" s="21" t="inlineStr">
        <is>
          <t>当期行情</t>
        </is>
      </c>
      <c r="AB25" s="21" t="inlineStr">
        <is>
          <t>SCFI 南美 2026-09-30；Global Resources 9/15–10/14 周报；Sino-Shipping 2026-10</t>
        </is>
      </c>
      <c r="AC25" s="21" t="inlineStr">
        <is>
          <t>2026-10-15</t>
        </is>
      </c>
      <c r="AD25" s="21" t="inlineStr">
        <is>
          <t>不适用（估算值，随基础数据更新）</t>
        </is>
      </c>
      <c r="AE25" s="21" t="inlineStr"/>
      <c r="AF25" s="21" t="inlineStr">
        <is>
          <t>有效（无到期日）</t>
        </is>
      </c>
      <c r="AG25" s="21" t="inlineStr">
        <is>
          <t>2026-W41</t>
        </is>
      </c>
      <c r="AH25" s="21" t="inlineStr">
        <is>
          <t>SCFI南美(Santos)≈5,980/TEU（2026-09-30，周降8.4%）；Global Resources 40GP≈6,800–7,100（9/15–10/14）；Sino-Shipping 10月40GP≈5,490–6,710；危柜溢价示意+20%～40%</t>
        </is>
      </c>
      <c r="AI25" s="21" t="inlineStr">
        <is>
          <t>高位回落+危柜溢价</t>
        </is>
      </c>
      <c r="AJ25" s="21" t="inlineStr">
        <is>
          <t>按整柜；危品附加费船司各异（南美侧多有HAZ审批费）；公开参考，非可成交价；巴西进口还需ANVISA/Receita合规；用于内部初步预算。对外提供金额前，核对货物条件、费用范围和有效报价。</t>
        </is>
      </c>
      <c r="AK25" s="21" t="inlineStr"/>
    </row>
    <row r="26">
      <c r="A26" s="21" t="inlineStr">
        <is>
          <t>拉美</t>
        </is>
      </c>
      <c r="B26" s="21" t="inlineStr">
        <is>
          <t>上海</t>
        </is>
      </c>
      <c r="C26" s="21" t="inlineStr">
        <is>
          <t>机场</t>
        </is>
      </c>
      <c r="D26" s="21" t="inlineStr">
        <is>
          <t>巴西利亚</t>
        </is>
      </c>
      <c r="E26" s="21" t="inlineStr">
        <is>
          <t>BSB(经GRU/VCP)</t>
        </is>
      </c>
      <c r="F26" s="21" t="inlineStr">
        <is>
          <t>空运</t>
        </is>
      </c>
      <c r="G26" s="21" t="inlineStr">
        <is>
          <t>整机普货</t>
        </is>
      </c>
      <c r="H26" s="21" t="inlineStr">
        <is>
          <t>USD/kg</t>
        </is>
      </c>
      <c r="I26" s="21" t="inlineStr">
        <is>
          <t>9.5–13.0</t>
        </is>
      </c>
      <c r="J26" s="21" t="inlineStr">
        <is>
          <t>USD</t>
        </is>
      </c>
      <c r="K26" s="29" t="inlineStr">
        <is>
          <t>模型估算</t>
        </is>
      </c>
      <c r="L26" s="21" t="inlineStr">
        <is>
          <t>PVG→GRU 公开牌价为底 + GRU/VCP→BSB 转运约 +1～1.5 USD/kg（推算）；原始依据：无PVG→BSB公开牌价；以PVG→GRU牌价≈10.3–11.8为底+GRU/VCP→BSB国内卡航/航空转运估算（约+1～1.5 USD/kg，推算）</t>
        </is>
      </c>
      <c r="M26" s="21" t="inlineStr">
        <is>
          <t>到指定城市（GRU 价+转运推算，未拆分）</t>
        </is>
      </c>
      <c r="N26" s="21" t="inlineStr">
        <is>
          <t>待确认（以 GRU 牌价 100–300kg 为底推算）</t>
        </is>
      </c>
      <c r="O26" s="21" t="inlineStr">
        <is>
          <t>不适用（空运）</t>
        </is>
      </c>
      <c r="P26" s="21" t="inlineStr">
        <is>
          <t>待确认（来源未说明是否适用超尺寸/不可堆叠整机）</t>
        </is>
      </c>
      <c r="Q26" s="21" t="inlineStr">
        <is>
          <t>6-10</t>
        </is>
      </c>
      <c r="R26" s="21" t="inlineStr">
        <is>
          <t>待确认</t>
        </is>
      </c>
      <c r="S26" s="21" t="inlineStr">
        <is>
          <t>经GRU/VCP中转</t>
        </is>
      </c>
      <c r="T26" s="21" t="inlineStr">
        <is>
          <t>GRU/VCP</t>
        </is>
      </c>
      <c r="U26" s="21" t="inlineStr">
        <is>
          <t>待确认（国内卡车或航空转运）</t>
        </is>
      </c>
      <c r="V26" s="21" t="inlineStr">
        <is>
          <t>约 +1～1.5 USD/kg（v1.1 推算，已含于主价；模型估算）</t>
        </is>
      </c>
      <c r="W26" s="21" t="inlineStr">
        <is>
          <t>估算</t>
        </is>
      </c>
      <c r="X26" s="21" t="inlineStr">
        <is>
          <t>待核实</t>
        </is>
      </c>
      <c r="Y26" s="21" t="inlineStr">
        <is>
          <t>待核实（主段与内陆/末段须均有数据才显示）</t>
        </is>
      </c>
      <c r="Z26" s="21" t="inlineStr">
        <is>
          <t>空卡（经GRU/VCP）</t>
        </is>
      </c>
      <c r="AA26" s="21" t="inlineStr">
        <is>
          <t>当期行情</t>
        </is>
      </c>
      <c r="AB26" s="21" t="inlineStr">
        <is>
          <t>Seabay GRU 牌价（发布日待核实，到期 10-16～10-21）</t>
        </is>
      </c>
      <c r="AC26" s="21" t="inlineStr">
        <is>
          <t>2026-10-15</t>
        </is>
      </c>
      <c r="AD26" s="21" t="inlineStr">
        <is>
          <t>2026-10-16（所依据 Seabay GRU 牌价最早到期日）；本行为估算</t>
        </is>
      </c>
      <c r="AE26" s="21" t="inlineStr">
        <is>
          <t>2026-10-16</t>
        </is>
      </c>
      <c r="AF26" s="21" t="inlineStr">
        <is>
          <t>有效（到期日 2026-10-16）</t>
        </is>
      </c>
      <c r="AG26" s="21" t="inlineStr">
        <is>
          <t>2026-W41</t>
        </is>
      </c>
      <c r="AH26" s="21" t="inlineStr">
        <is>
          <t>无PVG→BSB公开牌价；以PVG→GRU牌价≈10.3–11.8为底+GRU/VCP→BSB国内卡航/航空转运估算（约+1～1.5 USD/kg，推算）</t>
        </is>
      </c>
      <c r="AI26" s="21" t="inlineStr">
        <is>
          <t>无直达</t>
        </is>
      </c>
      <c r="AJ26" s="21" t="inlineStr">
        <is>
          <t>公开参考，非可成交价；BSB为估算价；需货代实询转运段与清关地（GRU清关后转运或BSB保税）；用于内部初步预算。对外提供金额前，核对货物条件、费用范围和有效报价。</t>
        </is>
      </c>
      <c r="AK26" s="21" t="inlineStr"/>
    </row>
    <row r="27">
      <c r="A27" s="21" t="inlineStr">
        <is>
          <t>拉美</t>
        </is>
      </c>
      <c r="B27" s="21" t="inlineStr">
        <is>
          <t>上海</t>
        </is>
      </c>
      <c r="C27" s="21" t="inlineStr">
        <is>
          <t>港口</t>
        </is>
      </c>
      <c r="D27" s="21" t="inlineStr">
        <is>
          <t>巴西利亚</t>
        </is>
      </c>
      <c r="E27" s="21" t="inlineStr">
        <is>
          <t>Santos(SSZ)→内陆</t>
        </is>
      </c>
      <c r="F27" s="21" t="inlineStr">
        <is>
          <t>海运</t>
        </is>
      </c>
      <c r="G27" s="21" t="inlineStr">
        <is>
          <t>整机普货</t>
        </is>
      </c>
      <c r="H27" s="21" t="inlineStr">
        <is>
          <t>USD/CBM</t>
        </is>
      </c>
      <c r="I27" s="21" t="inlineStr">
        <is>
          <t>90–220</t>
        </is>
      </c>
      <c r="J27" s="21" t="inlineStr">
        <is>
          <t>USD</t>
        </is>
      </c>
      <c r="K27" s="30" t="inlineStr">
        <is>
          <t>公开报价</t>
        </is>
      </c>
      <c r="L27" s="21" t="inlineStr"/>
      <c r="M27" s="21" t="inlineStr">
        <is>
          <t>港到港（Santos，不含内陆）</t>
        </is>
      </c>
      <c r="N27" s="21" t="inlineStr">
        <is>
          <t>不适用（海运）</t>
        </is>
      </c>
      <c r="O27" s="21" t="inlineStr">
        <is>
          <t>拼箱 LCL（无柜型）</t>
        </is>
      </c>
      <c r="P27" s="21" t="inlineStr">
        <is>
          <t>不适用（海运）</t>
        </is>
      </c>
      <c r="Q27" s="21" t="inlineStr">
        <is>
          <t>35-48</t>
        </is>
      </c>
      <c r="R27" s="21" t="inlineStr">
        <is>
          <t>港到港（Santos）</t>
        </is>
      </c>
      <c r="S27" s="21" t="inlineStr">
        <is>
          <t>经Santos港</t>
        </is>
      </c>
      <c r="T27" s="21" t="inlineStr">
        <is>
          <t>Santos</t>
        </is>
      </c>
      <c r="U27" s="21" t="inlineStr">
        <is>
          <t>卡车</t>
        </is>
      </c>
      <c r="V27" s="21" t="inlineStr">
        <is>
          <t>待询价（无公开价）</t>
        </is>
      </c>
      <c r="W27" s="25" t="inlineStr">
        <is>
          <t>待询价</t>
        </is>
      </c>
      <c r="X27" s="21" t="inlineStr">
        <is>
          <t>待核实</t>
        </is>
      </c>
      <c r="Y27" s="21" t="inlineStr">
        <is>
          <t>待核实（主段与内陆/末段须均有数据才显示）</t>
        </is>
      </c>
      <c r="Z27" s="21" t="inlineStr">
        <is>
          <t>海卡（经Santos+内陆拖运）</t>
        </is>
      </c>
      <c r="AA27" s="21" t="inlineStr">
        <is>
          <t>当期行情</t>
        </is>
      </c>
      <c r="AB27" s="21" t="inlineStr">
        <is>
          <t>同 Santos LCL：Sino-Shipping 2026-10；DTFU 2026；Flexport（日期待核实）</t>
        </is>
      </c>
      <c r="AC27" s="21" t="inlineStr">
        <is>
          <t>2026-10-15</t>
        </is>
      </c>
      <c r="AD27" s="21" t="inlineStr">
        <is>
          <t>待核实（各来源有效期未标注）</t>
        </is>
      </c>
      <c r="AE27" s="21" t="inlineStr"/>
      <c r="AF27" s="21" t="inlineStr">
        <is>
          <t>有效（无到期日）</t>
        </is>
      </c>
      <c r="AG27" s="21" t="inlineStr">
        <is>
          <t>2026-W41</t>
        </is>
      </c>
      <c r="AH27" s="21" t="inlineStr">
        <is>
          <t>同Santos LCL参考（Sino-Shipping/DTFU/Flexport）；巴西利亚内陆拖运无公开牌价，需另询</t>
        </is>
      </c>
      <c r="AI27" s="21" t="inlineStr">
        <is>
          <t>内陆拖运另计</t>
        </is>
      </c>
      <c r="AJ27" s="21" t="inlineStr">
        <is>
          <t>巴西利亚为内陆城市，约1,000km+；价格仅为Santos港到港，内陆拖运/清关地选择另计；公开参考，非可成交价；用于内部初步预算。对外提供金额前，核对货物条件、费用范围和有效报价。</t>
        </is>
      </c>
      <c r="AK27" s="21" t="inlineStr">
        <is>
          <t>45-60</t>
        </is>
      </c>
    </row>
    <row r="28">
      <c r="A28" s="21" t="inlineStr">
        <is>
          <t>拉美</t>
        </is>
      </c>
      <c r="B28" s="21" t="inlineStr">
        <is>
          <t>上海</t>
        </is>
      </c>
      <c r="C28" s="21" t="inlineStr">
        <is>
          <t>港口</t>
        </is>
      </c>
      <c r="D28" s="21" t="inlineStr">
        <is>
          <t>巴西利亚</t>
        </is>
      </c>
      <c r="E28" s="21" t="inlineStr">
        <is>
          <t>Santos(SSZ)→内陆</t>
        </is>
      </c>
      <c r="F28" s="21" t="inlineStr">
        <is>
          <t>海运</t>
        </is>
      </c>
      <c r="G28" s="21" t="inlineStr">
        <is>
          <t>整机危险品</t>
        </is>
      </c>
      <c r="H28" s="21" t="inlineStr">
        <is>
          <t>USD/40'</t>
        </is>
      </c>
      <c r="I28" s="21" t="inlineStr">
        <is>
          <t>7,000–9,500</t>
        </is>
      </c>
      <c r="J28" s="21" t="inlineStr">
        <is>
          <t>USD</t>
        </is>
      </c>
      <c r="K28" s="29" t="inlineStr">
        <is>
          <t>模型估算</t>
        </is>
      </c>
      <c r="L28" s="21" t="inlineStr">
        <is>
          <t>SCFI 南美 Santos + 危柜溢价约 +20%～40%（示意）；原始依据：同Santos危柜推算（SCFI Santos+危柜溢价）；危品内陆卡车需危运资质，无公开牌价</t>
        </is>
      </c>
      <c r="M28" s="21" t="inlineStr">
        <is>
          <t>港到港（Santos，不含内陆）</t>
        </is>
      </c>
      <c r="N28" s="21" t="inlineStr">
        <is>
          <t>不适用（海运）</t>
        </is>
      </c>
      <c r="O28" s="21" t="inlineStr">
        <is>
          <t>40GP（普柜来源标注 40GP；危柜部分为估算）</t>
        </is>
      </c>
      <c r="P28" s="21" t="inlineStr">
        <is>
          <t>不适用（海运）</t>
        </is>
      </c>
      <c r="Q28" s="21" t="inlineStr">
        <is>
          <t>30-45</t>
        </is>
      </c>
      <c r="R28" s="21" t="inlineStr">
        <is>
          <t>港到港（Santos）</t>
        </is>
      </c>
      <c r="S28" s="21" t="inlineStr">
        <is>
          <t>经Santos港</t>
        </is>
      </c>
      <c r="T28" s="21" t="inlineStr">
        <is>
          <t>Santos</t>
        </is>
      </c>
      <c r="U28" s="21" t="inlineStr">
        <is>
          <t>卡车</t>
        </is>
      </c>
      <c r="V28" s="21" t="inlineStr">
        <is>
          <t>待询价（危险品内陆卡运需危运资质，无公开价）</t>
        </is>
      </c>
      <c r="W28" s="25" t="inlineStr">
        <is>
          <t>待询价</t>
        </is>
      </c>
      <c r="X28" s="21" t="inlineStr">
        <is>
          <t>待核实</t>
        </is>
      </c>
      <c r="Y28" s="21" t="inlineStr">
        <is>
          <t>待核实（主段与内陆/末段须均有数据才显示）</t>
        </is>
      </c>
      <c r="Z28" s="21" t="inlineStr">
        <is>
          <t>海卡（经Santos+内陆拖运）</t>
        </is>
      </c>
      <c r="AA28" s="21" t="inlineStr">
        <is>
          <t>当期行情</t>
        </is>
      </c>
      <c r="AB28" s="21" t="inlineStr">
        <is>
          <t>SCFI 南美 2026-09-30；Global Resources 9/15–10/14 周报</t>
        </is>
      </c>
      <c r="AC28" s="21" t="inlineStr">
        <is>
          <t>2026-10-15</t>
        </is>
      </c>
      <c r="AD28" s="21" t="inlineStr">
        <is>
          <t>不适用（估算值，随基础数据更新）</t>
        </is>
      </c>
      <c r="AE28" s="21" t="inlineStr"/>
      <c r="AF28" s="21" t="inlineStr">
        <is>
          <t>有效（无到期日）</t>
        </is>
      </c>
      <c r="AG28" s="21" t="inlineStr">
        <is>
          <t>2026-W41</t>
        </is>
      </c>
      <c r="AH28" s="21" t="inlineStr">
        <is>
          <t>同Santos危柜推算（SCFI Santos+危柜溢价）；危品内陆卡车需危运资质，无公开牌价</t>
        </is>
      </c>
      <c r="AI28" s="21" t="inlineStr">
        <is>
          <t>高位+危柜+内陆危运</t>
        </is>
      </c>
      <c r="AJ28" s="21" t="inlineStr">
        <is>
          <t>内陆危险品公路运输需另询资质与费用；公开参考，非可成交价；用于内部初步预算。对外提供金额前，核对货物条件、费用范围和有效报价。</t>
        </is>
      </c>
      <c r="AK28" s="21" t="inlineStr">
        <is>
          <t>40-55</t>
        </is>
      </c>
    </row>
    <row r="29">
      <c r="A29" s="21" t="inlineStr">
        <is>
          <t>中东非</t>
        </is>
      </c>
      <c r="B29" s="21" t="inlineStr">
        <is>
          <t>上海</t>
        </is>
      </c>
      <c r="C29" s="21" t="inlineStr">
        <is>
          <t>机场</t>
        </is>
      </c>
      <c r="D29" s="21" t="inlineStr">
        <is>
          <t>突尼斯</t>
        </is>
      </c>
      <c r="E29" s="21" t="inlineStr">
        <is>
          <t>TUN</t>
        </is>
      </c>
      <c r="F29" s="21" t="inlineStr">
        <is>
          <t>空运</t>
        </is>
      </c>
      <c r="G29" s="21" t="inlineStr">
        <is>
          <t>整机危险品</t>
        </is>
      </c>
      <c r="H29" s="21" t="inlineStr">
        <is>
          <t>USD/kg</t>
        </is>
      </c>
      <c r="I29" s="21" t="inlineStr">
        <is>
          <t>9.0–13.0</t>
        </is>
      </c>
      <c r="J29" s="21" t="inlineStr">
        <is>
          <t>USD</t>
        </is>
      </c>
      <c r="K29" s="29" t="inlineStr">
        <is>
          <t>模型估算</t>
        </is>
      </c>
      <c r="L29" s="21" t="inlineStr">
        <is>
          <t>非洲/北非普货 + 货机危货溢价（示意）；原始依据：非洲/北非公开普货≈8–9级 + 货机危货溢价示意；无稳定TUN危货公开指数</t>
        </is>
      </c>
      <c r="M29" s="21" t="inlineStr">
        <is>
          <t>机场到机场</t>
        </is>
      </c>
      <c r="N29" s="21" t="inlineStr">
        <is>
          <t>待确认</t>
        </is>
      </c>
      <c r="O29" s="21" t="inlineStr">
        <is>
          <t>不适用（空运）</t>
        </is>
      </c>
      <c r="P29" s="21" t="inlineStr">
        <is>
          <t>待确认（来源未说明是否适用超尺寸/不可堆叠整机）</t>
        </is>
      </c>
      <c r="Q29" s="21" t="inlineStr">
        <is>
          <t>6-12</t>
        </is>
      </c>
      <c r="R29" s="21" t="inlineStr">
        <is>
          <t>机场到机场（v1.1 口径推定）</t>
        </is>
      </c>
      <c r="S29" s="21" t="inlineStr">
        <is>
          <t>经中转（仅货机，班次待确认）</t>
        </is>
      </c>
      <c r="T29" s="21" t="inlineStr">
        <is>
          <t>无</t>
        </is>
      </c>
      <c r="U29" s="21" t="inlineStr">
        <is>
          <t>无</t>
        </is>
      </c>
      <c r="V29" s="21" t="inlineStr">
        <is>
          <t>不适用（目的机场即口岸）</t>
        </is>
      </c>
      <c r="W29" s="21" t="inlineStr"/>
      <c r="X29" s="21" t="inlineStr">
        <is>
          <t>不适用</t>
        </is>
      </c>
      <c r="Y29" s="21">
        <f> 主段（USD/kg 9.0–13.0；6-12 天）；目的口岸即目的地</f>
        <v/>
      </c>
      <c r="Z29" s="21" t="inlineStr">
        <is>
          <t>空卡（货机中转）</t>
        </is>
      </c>
      <c r="AA29" s="28" t="inlineStr">
        <is>
          <t>背景参考</t>
        </is>
      </c>
      <c r="AB29" s="21" t="inlineStr">
        <is>
          <t>无稳定公开指数（日期待核实）</t>
        </is>
      </c>
      <c r="AC29" s="21" t="inlineStr">
        <is>
          <t>2026-10-15</t>
        </is>
      </c>
      <c r="AD29" s="21" t="inlineStr">
        <is>
          <t>不适用（估算值，随基础数据更新）</t>
        </is>
      </c>
      <c r="AE29" s="21" t="inlineStr"/>
      <c r="AF29" s="21" t="inlineStr">
        <is>
          <t>背景参考</t>
        </is>
      </c>
      <c r="AG29" s="21" t="inlineStr">
        <is>
          <t>2026-W41</t>
        </is>
      </c>
      <c r="AH29" s="21" t="inlineStr">
        <is>
          <t>非洲/北非公开普货≈8–9级 + 货机危货溢价示意；无稳定TUN危货公开指数</t>
        </is>
      </c>
      <c r="AI29" s="21" t="inlineStr">
        <is>
          <t>仅货机</t>
        </is>
      </c>
      <c r="AJ29" s="21" t="inlineStr">
        <is>
          <t>危货整机/锂电池仅货机；公开牌价稀缺，区间为推算；务必货代实询；公开参考，非可成交价；用于内部初步预算。对外提供金额前，核对货物条件、费用范围和有效报价。</t>
        </is>
      </c>
      <c r="AK29" s="21" t="inlineStr"/>
    </row>
    <row r="30">
      <c r="A30" s="21" t="inlineStr">
        <is>
          <t>中东非</t>
        </is>
      </c>
      <c r="B30" s="21" t="inlineStr">
        <is>
          <t>上海</t>
        </is>
      </c>
      <c r="C30" s="21" t="inlineStr">
        <is>
          <t>机场</t>
        </is>
      </c>
      <c r="D30" s="21" t="inlineStr">
        <is>
          <t>摩洛哥</t>
        </is>
      </c>
      <c r="E30" s="21" t="inlineStr">
        <is>
          <t>CMN</t>
        </is>
      </c>
      <c r="F30" s="21" t="inlineStr">
        <is>
          <t>空运</t>
        </is>
      </c>
      <c r="G30" s="21" t="inlineStr">
        <is>
          <t>整机普货</t>
        </is>
      </c>
      <c r="H30" s="21" t="inlineStr">
        <is>
          <t>USD/kg</t>
        </is>
      </c>
      <c r="I30" s="21" t="inlineStr">
        <is>
          <t>7.0–9.0</t>
        </is>
      </c>
      <c r="J30" s="21" t="inlineStr">
        <is>
          <t>USD</t>
        </is>
      </c>
      <c r="K30" s="27" t="inlineStr">
        <is>
          <t>区域指数</t>
        </is>
      </c>
      <c r="L30" s="21" t="inlineStr"/>
      <c r="M30" s="21" t="inlineStr">
        <is>
          <t>机场到机场</t>
        </is>
      </c>
      <c r="N30" s="21" t="inlineStr">
        <is>
          <t>待确认（BSI 非洲线区间）</t>
        </is>
      </c>
      <c r="O30" s="21" t="inlineStr">
        <is>
          <t>不适用（空运）</t>
        </is>
      </c>
      <c r="P30" s="21" t="inlineStr">
        <is>
          <t>待确认（来源未说明是否适用超尺寸/不可堆叠整机）</t>
        </is>
      </c>
      <c r="Q30" s="21" t="inlineStr">
        <is>
          <t>6-12</t>
        </is>
      </c>
      <c r="R30" s="21" t="inlineStr">
        <is>
          <t>机场到机场（v1.1 口径推定）</t>
        </is>
      </c>
      <c r="S30" s="21" t="inlineStr">
        <is>
          <t>经欧/中东中转（中转点待确认）</t>
        </is>
      </c>
      <c r="T30" s="21" t="inlineStr">
        <is>
          <t>无</t>
        </is>
      </c>
      <c r="U30" s="21" t="inlineStr">
        <is>
          <t>无</t>
        </is>
      </c>
      <c r="V30" s="21" t="inlineStr">
        <is>
          <t>不适用（目的机场即口岸）</t>
        </is>
      </c>
      <c r="W30" s="21" t="inlineStr"/>
      <c r="X30" s="21" t="inlineStr">
        <is>
          <t>不适用</t>
        </is>
      </c>
      <c r="Y30" s="21">
        <f> 主段（USD/kg 7.0–9.0；6-12 天）；目的口岸即目的地</f>
        <v/>
      </c>
      <c r="Z30" s="21" t="inlineStr">
        <is>
          <t>空卡（中转）</t>
        </is>
      </c>
      <c r="AA30" s="28" t="inlineStr">
        <is>
          <t>背景参考</t>
        </is>
      </c>
      <c r="AB30" s="21" t="inlineStr">
        <is>
          <t>BSI 标注2026年更新（具体日期待核实）</t>
        </is>
      </c>
      <c r="AC30" s="21" t="inlineStr">
        <is>
          <t>2026-10-15</t>
        </is>
      </c>
      <c r="AD30" s="21" t="inlineStr">
        <is>
          <t>待核实</t>
        </is>
      </c>
      <c r="AE30" s="21" t="inlineStr"/>
      <c r="AF30" s="21" t="inlineStr">
        <is>
          <t>背景参考</t>
        </is>
      </c>
      <c r="AG30" s="21" t="inlineStr">
        <is>
          <t>2026-W41</t>
        </is>
      </c>
      <c r="AH30" s="21" t="inlineStr">
        <is>
          <t>BSI非洲线≈8.06–8.80；北非经欧/中东中转</t>
        </is>
      </c>
      <c r="AI30" s="21" t="inlineStr"/>
      <c r="AJ30" s="21" t="inlineStr">
        <is>
          <t>公开参考，非可成交价；用于内部初步预算。对外提供金额前，核对货物条件、费用范围和有效报价。</t>
        </is>
      </c>
      <c r="AK30" s="21" t="inlineStr"/>
    </row>
    <row r="31">
      <c r="A31" s="21" t="inlineStr">
        <is>
          <t>中东非</t>
        </is>
      </c>
      <c r="B31" s="21" t="inlineStr">
        <is>
          <t>上海</t>
        </is>
      </c>
      <c r="C31" s="21" t="inlineStr">
        <is>
          <t>机场</t>
        </is>
      </c>
      <c r="D31" s="21" t="inlineStr">
        <is>
          <t>迪拜</t>
        </is>
      </c>
      <c r="E31" s="21" t="inlineStr">
        <is>
          <t>DXB</t>
        </is>
      </c>
      <c r="F31" s="21" t="inlineStr">
        <is>
          <t>空运</t>
        </is>
      </c>
      <c r="G31" s="21" t="inlineStr">
        <is>
          <t>整机普货</t>
        </is>
      </c>
      <c r="H31" s="21" t="inlineStr">
        <is>
          <t>USD/kg</t>
        </is>
      </c>
      <c r="I31" s="21" t="inlineStr">
        <is>
          <t>3.7–6.5</t>
        </is>
      </c>
      <c r="J31" s="21" t="inlineStr">
        <is>
          <t>USD</t>
        </is>
      </c>
      <c r="K31" s="27" t="inlineStr">
        <is>
          <t>区域指数</t>
        </is>
      </c>
      <c r="L31" s="21" t="inlineStr"/>
      <c r="M31" s="21" t="inlineStr">
        <is>
          <t>机场到机场</t>
        </is>
      </c>
      <c r="N31" s="21" t="inlineStr">
        <is>
          <t>FAX 指数不分重量档；Seabay 牌价重量档待确认</t>
        </is>
      </c>
      <c r="O31" s="21" t="inlineStr">
        <is>
          <t>不适用（空运）</t>
        </is>
      </c>
      <c r="P31" s="21" t="inlineStr">
        <is>
          <t>待确认（来源未说明是否适用超尺寸/不可堆叠整机）</t>
        </is>
      </c>
      <c r="Q31" s="21" t="inlineStr">
        <is>
          <t>3-6</t>
        </is>
      </c>
      <c r="R31" s="21" t="inlineStr">
        <is>
          <t>机场到机场（v1.1 口径推定）</t>
        </is>
      </c>
      <c r="S31" s="21" t="inlineStr">
        <is>
          <t>待确认</t>
        </is>
      </c>
      <c r="T31" s="21" t="inlineStr">
        <is>
          <t>无</t>
        </is>
      </c>
      <c r="U31" s="21" t="inlineStr">
        <is>
          <t>无</t>
        </is>
      </c>
      <c r="V31" s="21" t="inlineStr">
        <is>
          <t>不适用（目的机场即口岸）</t>
        </is>
      </c>
      <c r="W31" s="21" t="inlineStr"/>
      <c r="X31" s="21" t="inlineStr">
        <is>
          <t>不适用</t>
        </is>
      </c>
      <c r="Y31" s="21">
        <f> 主段（USD/kg 3.7–6.5；3-6 天）；目的口岸即目的地</f>
        <v/>
      </c>
      <c r="Z31" s="21" t="inlineStr">
        <is>
          <t>直达/少中转</t>
        </is>
      </c>
      <c r="AA31" s="21" t="inlineStr">
        <is>
          <t>当期行情</t>
        </is>
      </c>
      <c r="AB31" s="21" t="inlineStr">
        <is>
          <t>FAX 当期页面（发布日待核实）；Seabay（发布日待核实，到期 10-19/21）</t>
        </is>
      </c>
      <c r="AC31" s="21" t="inlineStr">
        <is>
          <t>2026-10-15</t>
        </is>
      </c>
      <c r="AD31" s="21" t="inlineStr">
        <is>
          <t>2026-10-19～10-21（Seabay 牌价到期日，取最早）；FAX 为指数无有效期</t>
        </is>
      </c>
      <c r="AE31" s="21" t="inlineStr">
        <is>
          <t>2026-10-19</t>
        </is>
      </c>
      <c r="AF31" s="21" t="inlineStr">
        <is>
          <t>有效（到期日 2026-10-19）</t>
        </is>
      </c>
      <c r="AG31" s="21" t="inlineStr">
        <is>
          <t>2026-W41</t>
        </is>
      </c>
      <c r="AH31" s="21" t="inlineStr">
        <is>
          <t>Freightos FAX CN-ME≈3.68；Seabay PVG→DWC≈5.2–6.6（2026-10-19/21）</t>
        </is>
      </c>
      <c r="AI31" s="21" t="inlineStr"/>
      <c r="AJ31" s="21" t="inlineStr">
        <is>
          <t>指数偏低、牌价偏高均常见，区间两端来源不同；公开参考，非可成交价；用于内部初步预算。对外提供金额前，核对货物条件、费用范围和有效报价。</t>
        </is>
      </c>
      <c r="AK31" s="21" t="inlineStr"/>
    </row>
    <row r="32">
      <c r="A32" s="21" t="inlineStr">
        <is>
          <t>中东非</t>
        </is>
      </c>
      <c r="B32" s="21" t="inlineStr">
        <is>
          <t>深圳</t>
        </is>
      </c>
      <c r="C32" s="21" t="inlineStr">
        <is>
          <t>机场</t>
        </is>
      </c>
      <c r="D32" s="21" t="inlineStr">
        <is>
          <t>利雅得</t>
        </is>
      </c>
      <c r="E32" s="21" t="inlineStr">
        <is>
          <t>RUH</t>
        </is>
      </c>
      <c r="F32" s="21" t="inlineStr">
        <is>
          <t>空运</t>
        </is>
      </c>
      <c r="G32" s="21" t="inlineStr">
        <is>
          <t>整机普货</t>
        </is>
      </c>
      <c r="H32" s="21" t="inlineStr">
        <is>
          <t>USD/kg</t>
        </is>
      </c>
      <c r="I32" s="21" t="inlineStr">
        <is>
          <t>4.5–6.5</t>
        </is>
      </c>
      <c r="J32" s="21" t="inlineStr">
        <is>
          <t>USD</t>
        </is>
      </c>
      <c r="K32" s="27" t="inlineStr">
        <is>
          <t>区域指数</t>
        </is>
      </c>
      <c r="L32" s="21" t="inlineStr"/>
      <c r="M32" s="21" t="inlineStr">
        <is>
          <t>机场到机场</t>
        </is>
      </c>
      <c r="N32" s="21" t="inlineStr">
        <is>
          <t>FAX 指数不分重量档；BSI 中东线重量档待确认</t>
        </is>
      </c>
      <c r="O32" s="21" t="inlineStr">
        <is>
          <t>不适用（空运）</t>
        </is>
      </c>
      <c r="P32" s="21" t="inlineStr">
        <is>
          <t>待确认（来源未说明是否适用超尺寸/不可堆叠整机）</t>
        </is>
      </c>
      <c r="Q32" s="21" t="inlineStr">
        <is>
          <t>4-7</t>
        </is>
      </c>
      <c r="R32" s="21" t="inlineStr">
        <is>
          <t>机场到机场（v1.1 口径推定）</t>
        </is>
      </c>
      <c r="S32" s="21" t="inlineStr">
        <is>
          <t>待确认</t>
        </is>
      </c>
      <c r="T32" s="21" t="inlineStr">
        <is>
          <t>无</t>
        </is>
      </c>
      <c r="U32" s="21" t="inlineStr">
        <is>
          <t>无</t>
        </is>
      </c>
      <c r="V32" s="21" t="inlineStr">
        <is>
          <t>不适用（目的机场即口岸）</t>
        </is>
      </c>
      <c r="W32" s="21" t="inlineStr"/>
      <c r="X32" s="21" t="inlineStr">
        <is>
          <t>不适用</t>
        </is>
      </c>
      <c r="Y32" s="21">
        <f> 主段（USD/kg 4.5–6.5；4-7 天）；目的口岸即目的地</f>
        <v/>
      </c>
      <c r="Z32" s="21" t="inlineStr">
        <is>
          <t>直达/少中转</t>
        </is>
      </c>
      <c r="AA32" s="21" t="inlineStr">
        <is>
          <t>当期行情</t>
        </is>
      </c>
      <c r="AB32" s="21" t="inlineStr">
        <is>
          <t>FAX 中东当期页面（发布日待核实）；BSI 标注2026年更新</t>
        </is>
      </c>
      <c r="AC32" s="21" t="inlineStr">
        <is>
          <t>2026-10-15</t>
        </is>
      </c>
      <c r="AD32" s="21" t="inlineStr">
        <is>
          <t>不适用（指数/行情，无报价有效期）</t>
        </is>
      </c>
      <c r="AE32" s="21" t="inlineStr"/>
      <c r="AF32" s="21" t="inlineStr">
        <is>
          <t>有效（无到期日）</t>
        </is>
      </c>
      <c r="AG32" s="21" t="inlineStr">
        <is>
          <t>2026-W41</t>
        </is>
      </c>
      <c r="AH32" s="21" t="inlineStr">
        <is>
          <t>BSI中东线≈5.57–6.30；FAX中东为底</t>
        </is>
      </c>
      <c r="AI32" s="21" t="inlineStr"/>
      <c r="AJ32" s="21" t="inlineStr">
        <is>
          <t>公开参考，非可成交价；用于内部初步预算。对外提供金额前，核对货物条件、费用范围和有效报价。</t>
        </is>
      </c>
      <c r="AK32" s="21" t="inlineStr"/>
    </row>
    <row r="33">
      <c r="A33" s="21" t="inlineStr">
        <is>
          <t>中东非</t>
        </is>
      </c>
      <c r="B33" s="21" t="inlineStr">
        <is>
          <t>上海</t>
        </is>
      </c>
      <c r="C33" s="21" t="inlineStr">
        <is>
          <t>机场</t>
        </is>
      </c>
      <c r="D33" s="21" t="inlineStr">
        <is>
          <t>突尼斯</t>
        </is>
      </c>
      <c r="E33" s="21" t="inlineStr">
        <is>
          <t>TUN</t>
        </is>
      </c>
      <c r="F33" s="21" t="inlineStr">
        <is>
          <t>空运</t>
        </is>
      </c>
      <c r="G33" s="21" t="inlineStr">
        <is>
          <t>整机普货</t>
        </is>
      </c>
      <c r="H33" s="21" t="inlineStr">
        <is>
          <t>USD/kg</t>
        </is>
      </c>
      <c r="I33" s="21" t="inlineStr">
        <is>
          <t>7.5–9.5</t>
        </is>
      </c>
      <c r="J33" s="21" t="inlineStr">
        <is>
          <t>USD</t>
        </is>
      </c>
      <c r="K33" s="29" t="inlineStr">
        <is>
          <t>模型估算</t>
        </is>
      </c>
      <c r="L33" s="21" t="inlineStr">
        <is>
          <t>北非/非洲公开普货区间估算（拆电池后整机按普货）；原始依据：北非/非洲公开普货区间估算（拆电池后整机按普货）</t>
        </is>
      </c>
      <c r="M33" s="21" t="inlineStr">
        <is>
          <t>机场到机场</t>
        </is>
      </c>
      <c r="N33" s="21" t="inlineStr">
        <is>
          <t>待确认</t>
        </is>
      </c>
      <c r="O33" s="21" t="inlineStr">
        <is>
          <t>不适用（空运）</t>
        </is>
      </c>
      <c r="P33" s="21" t="inlineStr">
        <is>
          <t>待确认（来源未说明是否适用超尺寸/不可堆叠整机）</t>
        </is>
      </c>
      <c r="Q33" s="21" t="inlineStr">
        <is>
          <t>6-12</t>
        </is>
      </c>
      <c r="R33" s="21" t="inlineStr">
        <is>
          <t>机场到机场（v1.1 口径推定）</t>
        </is>
      </c>
      <c r="S33" s="21" t="inlineStr">
        <is>
          <t>经中转（中转点待确认）</t>
        </is>
      </c>
      <c r="T33" s="21" t="inlineStr">
        <is>
          <t>无</t>
        </is>
      </c>
      <c r="U33" s="21" t="inlineStr">
        <is>
          <t>无</t>
        </is>
      </c>
      <c r="V33" s="21" t="inlineStr">
        <is>
          <t>不适用（目的机场即口岸）</t>
        </is>
      </c>
      <c r="W33" s="21" t="inlineStr"/>
      <c r="X33" s="21" t="inlineStr">
        <is>
          <t>不适用</t>
        </is>
      </c>
      <c r="Y33" s="21">
        <f> 主段（USD/kg 7.5–9.5；6-12 天）；目的口岸即目的地</f>
        <v/>
      </c>
      <c r="Z33" s="21" t="inlineStr">
        <is>
          <t>空卡（中转）</t>
        </is>
      </c>
      <c r="AA33" s="28" t="inlineStr">
        <is>
          <t>背景参考</t>
        </is>
      </c>
      <c r="AB33" s="21" t="inlineStr">
        <is>
          <t>无稳定公开指数（日期待核实）</t>
        </is>
      </c>
      <c r="AC33" s="21" t="inlineStr">
        <is>
          <t>2026-10-15</t>
        </is>
      </c>
      <c r="AD33" s="21" t="inlineStr">
        <is>
          <t>不适用（估算值，随基础数据更新）</t>
        </is>
      </c>
      <c r="AE33" s="21" t="inlineStr"/>
      <c r="AF33" s="21" t="inlineStr">
        <is>
          <t>背景参考</t>
        </is>
      </c>
      <c r="AG33" s="21" t="inlineStr">
        <is>
          <t>2026-W41</t>
        </is>
      </c>
      <c r="AH33" s="21" t="inlineStr">
        <is>
          <t>北非/非洲公开普货区间估算（拆电池后整机按普货）</t>
        </is>
      </c>
      <c r="AI33" s="21" t="inlineStr"/>
      <c r="AJ33" s="21" t="inlineStr">
        <is>
          <t>若电池已拆出单独运，整机可按普货；公开参考，非可成交价；用于内部初步预算。对外提供金额前，核对货物条件、费用范围和有效报价。</t>
        </is>
      </c>
      <c r="AK33" s="21" t="inlineStr"/>
    </row>
    <row r="34">
      <c r="A34" s="21" t="inlineStr">
        <is>
          <t>独联体</t>
        </is>
      </c>
      <c r="B34" s="21" t="inlineStr">
        <is>
          <t>郑州</t>
        </is>
      </c>
      <c r="C34" s="21" t="inlineStr">
        <is>
          <t>机场</t>
        </is>
      </c>
      <c r="D34" s="21" t="inlineStr">
        <is>
          <t>莫斯科</t>
        </is>
      </c>
      <c r="E34" s="21" t="inlineStr">
        <is>
          <t>SVO/DME</t>
        </is>
      </c>
      <c r="F34" s="21" t="inlineStr">
        <is>
          <t>空运</t>
        </is>
      </c>
      <c r="G34" s="21" t="inlineStr">
        <is>
          <t>整机普货</t>
        </is>
      </c>
      <c r="H34" s="21" t="inlineStr">
        <is>
          <t>USD/kg</t>
        </is>
      </c>
      <c r="I34" s="21" t="inlineStr">
        <is>
          <t>4.0–6.5</t>
        </is>
      </c>
      <c r="J34" s="21" t="inlineStr">
        <is>
          <t>USD</t>
        </is>
      </c>
      <c r="K34" s="29" t="inlineStr">
        <is>
          <t>模型估算</t>
        </is>
      </c>
      <c r="L34" s="21" t="inlineStr">
        <is>
          <t>以欧亚枢纽公开行情为底估算；原始依据：公开CIS/俄线牌价波动大；以欧亚枢纽公开行情为底估算</t>
        </is>
      </c>
      <c r="M34" s="21" t="inlineStr">
        <is>
          <t>机场到机场</t>
        </is>
      </c>
      <c r="N34" s="21" t="inlineStr">
        <is>
          <t>待确认</t>
        </is>
      </c>
      <c r="O34" s="21" t="inlineStr">
        <is>
          <t>不适用（空运）</t>
        </is>
      </c>
      <c r="P34" s="21" t="inlineStr">
        <is>
          <t>待确认（来源未说明是否适用超尺寸/不可堆叠整机）</t>
        </is>
      </c>
      <c r="Q34" s="21" t="inlineStr">
        <is>
          <t>5-10</t>
        </is>
      </c>
      <c r="R34" s="21" t="inlineStr">
        <is>
          <t>机场到机场（v1.1 口径推定）</t>
        </is>
      </c>
      <c r="S34" s="21" t="inlineStr">
        <is>
          <t>待确认</t>
        </is>
      </c>
      <c r="T34" s="21" t="inlineStr">
        <is>
          <t>无</t>
        </is>
      </c>
      <c r="U34" s="21" t="inlineStr">
        <is>
          <t>无</t>
        </is>
      </c>
      <c r="V34" s="21" t="inlineStr">
        <is>
          <t>不适用（目的机场即口岸）</t>
        </is>
      </c>
      <c r="W34" s="21" t="inlineStr"/>
      <c r="X34" s="21" t="inlineStr">
        <is>
          <t>不适用</t>
        </is>
      </c>
      <c r="Y34" s="21">
        <f> 主段（USD/kg 4.0–6.5；5-10 天）；目的口岸即目的地</f>
        <v/>
      </c>
      <c r="Z34" s="21" t="inlineStr">
        <is>
          <t>直达/少中转</t>
        </is>
      </c>
      <c r="AA34" s="28" t="inlineStr">
        <is>
          <t>背景参考</t>
        </is>
      </c>
      <c r="AB34" s="21" t="inlineStr">
        <is>
          <t>日期待核实</t>
        </is>
      </c>
      <c r="AC34" s="21" t="inlineStr">
        <is>
          <t>2026-10-15</t>
        </is>
      </c>
      <c r="AD34" s="21" t="inlineStr">
        <is>
          <t>不适用（估算值，随基础数据更新）</t>
        </is>
      </c>
      <c r="AE34" s="21" t="inlineStr"/>
      <c r="AF34" s="21" t="inlineStr">
        <is>
          <t>背景参考</t>
        </is>
      </c>
      <c r="AG34" s="21" t="inlineStr">
        <is>
          <t>2026-W41</t>
        </is>
      </c>
      <c r="AH34" s="21" t="inlineStr">
        <is>
          <t>公开CIS/俄线牌价波动大；以欧亚枢纽公开行情为底估算</t>
        </is>
      </c>
      <c r="AI34" s="21" t="inlineStr">
        <is>
          <t>合规路由</t>
        </is>
      </c>
      <c r="AJ34" s="21" t="inlineStr">
        <is>
          <t>注意出口管制与航线合规；公开参考，非可成交价；建议实询；用于内部初步预算。对外提供金额前，核对货物条件、费用范围和有效报价。</t>
        </is>
      </c>
      <c r="AK34" s="21" t="inlineStr"/>
    </row>
    <row r="35">
      <c r="A35" s="21" t="inlineStr">
        <is>
          <t>独联体</t>
        </is>
      </c>
      <c r="B35" s="21" t="inlineStr">
        <is>
          <t>上海</t>
        </is>
      </c>
      <c r="C35" s="21" t="inlineStr">
        <is>
          <t>机场</t>
        </is>
      </c>
      <c r="D35" s="21" t="inlineStr">
        <is>
          <t>阿斯塔纳</t>
        </is>
      </c>
      <c r="E35" s="21" t="inlineStr">
        <is>
          <t>NQZ</t>
        </is>
      </c>
      <c r="F35" s="21" t="inlineStr">
        <is>
          <t>空运</t>
        </is>
      </c>
      <c r="G35" s="21" t="inlineStr">
        <is>
          <t>整机普货</t>
        </is>
      </c>
      <c r="H35" s="21" t="inlineStr">
        <is>
          <t>USD/kg</t>
        </is>
      </c>
      <c r="I35" s="21" t="inlineStr">
        <is>
          <t>5.0–7.0</t>
        </is>
      </c>
      <c r="J35" s="21" t="inlineStr">
        <is>
          <t>USD</t>
        </is>
      </c>
      <c r="K35" s="29" t="inlineStr">
        <is>
          <t>模型估算</t>
        </is>
      </c>
      <c r="L35" s="21" t="inlineStr">
        <is>
          <t>中亚线公开货代区间估算；原始依据：无独立FAX分项；中亚线公开货代区间估算</t>
        </is>
      </c>
      <c r="M35" s="21" t="inlineStr">
        <is>
          <t>机场到机场</t>
        </is>
      </c>
      <c r="N35" s="21" t="inlineStr">
        <is>
          <t>待确认</t>
        </is>
      </c>
      <c r="O35" s="21" t="inlineStr">
        <is>
          <t>不适用（空运）</t>
        </is>
      </c>
      <c r="P35" s="21" t="inlineStr">
        <is>
          <t>待确认（来源未说明是否适用超尺寸/不可堆叠整机）</t>
        </is>
      </c>
      <c r="Q35" s="21" t="inlineStr">
        <is>
          <t>5-9</t>
        </is>
      </c>
      <c r="R35" s="21" t="inlineStr">
        <is>
          <t>机场到机场（v1.1 口径推定）</t>
        </is>
      </c>
      <c r="S35" s="21" t="inlineStr">
        <is>
          <t>待确认</t>
        </is>
      </c>
      <c r="T35" s="21" t="inlineStr">
        <is>
          <t>无</t>
        </is>
      </c>
      <c r="U35" s="21" t="inlineStr">
        <is>
          <t>无</t>
        </is>
      </c>
      <c r="V35" s="21" t="inlineStr">
        <is>
          <t>不适用（目的机场即口岸）</t>
        </is>
      </c>
      <c r="W35" s="21" t="inlineStr"/>
      <c r="X35" s="21" t="inlineStr">
        <is>
          <t>不适用</t>
        </is>
      </c>
      <c r="Y35" s="21">
        <f> 主段（USD/kg 5.0–7.0；5-9 天）；目的口岸即目的地</f>
        <v/>
      </c>
      <c r="Z35" s="21" t="inlineStr">
        <is>
          <t>直达/少中转</t>
        </is>
      </c>
      <c r="AA35" s="28" t="inlineStr">
        <is>
          <t>背景参考</t>
        </is>
      </c>
      <c r="AB35" s="21" t="inlineStr">
        <is>
          <t>日期待核实</t>
        </is>
      </c>
      <c r="AC35" s="21" t="inlineStr">
        <is>
          <t>2026-10-15</t>
        </is>
      </c>
      <c r="AD35" s="21" t="inlineStr">
        <is>
          <t>不适用（估算值，随基础数据更新）</t>
        </is>
      </c>
      <c r="AE35" s="21" t="inlineStr"/>
      <c r="AF35" s="21" t="inlineStr">
        <is>
          <t>背景参考</t>
        </is>
      </c>
      <c r="AG35" s="21" t="inlineStr">
        <is>
          <t>2026-W41</t>
        </is>
      </c>
      <c r="AH35" s="21" t="inlineStr">
        <is>
          <t>无独立FAX分项；中亚线公开货代区间估算</t>
        </is>
      </c>
      <c r="AI35" s="21" t="inlineStr"/>
      <c r="AJ35" s="21" t="inlineStr">
        <is>
          <t>公开参考，非可成交价；建议货代实询；用于内部初步预算。对外提供金额前，核对货物条件、费用范围和有效报价。</t>
        </is>
      </c>
      <c r="AK35" s="21" t="inlineStr"/>
    </row>
    <row r="36">
      <c r="A36" s="21" t="inlineStr">
        <is>
          <t>独联体</t>
        </is>
      </c>
      <c r="B36" s="21" t="inlineStr">
        <is>
          <t>上海</t>
        </is>
      </c>
      <c r="C36" s="21" t="inlineStr">
        <is>
          <t>机场</t>
        </is>
      </c>
      <c r="D36" s="21" t="inlineStr">
        <is>
          <t>比什凯克</t>
        </is>
      </c>
      <c r="E36" s="21" t="inlineStr">
        <is>
          <t>FRU</t>
        </is>
      </c>
      <c r="F36" s="21" t="inlineStr">
        <is>
          <t>空运</t>
        </is>
      </c>
      <c r="G36" s="21" t="inlineStr">
        <is>
          <t>整机普货</t>
        </is>
      </c>
      <c r="H36" s="21" t="inlineStr">
        <is>
          <t>USD/kg</t>
        </is>
      </c>
      <c r="I36" s="21" t="inlineStr">
        <is>
          <t>5.5–8.0</t>
        </is>
      </c>
      <c r="J36" s="21" t="inlineStr">
        <is>
          <t>USD</t>
        </is>
      </c>
      <c r="K36" s="29" t="inlineStr">
        <is>
          <t>模型估算</t>
        </is>
      </c>
      <c r="L36" s="21" t="inlineStr">
        <is>
          <t>邻近枢纽（ALA）估算；原始依据：常经ALA；无直达公开指数，邻近枢纽估算</t>
        </is>
      </c>
      <c r="M36" s="21" t="inlineStr">
        <is>
          <t>到指定城市（含末段卡运估算，未拆分）</t>
        </is>
      </c>
      <c r="N36" s="21" t="inlineStr">
        <is>
          <t>待确认</t>
        </is>
      </c>
      <c r="O36" s="21" t="inlineStr">
        <is>
          <t>不适用（空运）</t>
        </is>
      </c>
      <c r="P36" s="21" t="inlineStr">
        <is>
          <t>待确认（来源未说明是否适用超尺寸/不可堆叠整机）</t>
        </is>
      </c>
      <c r="Q36" s="21" t="inlineStr">
        <is>
          <t>6-11</t>
        </is>
      </c>
      <c r="R36" s="21" t="inlineStr">
        <is>
          <t>待确认</t>
        </is>
      </c>
      <c r="S36" s="21" t="inlineStr">
        <is>
          <t>常经ALA中转</t>
        </is>
      </c>
      <c r="T36" s="21" t="inlineStr">
        <is>
          <t>ALA</t>
        </is>
      </c>
      <c r="U36" s="21" t="inlineStr">
        <is>
          <t>卡车</t>
        </is>
      </c>
      <c r="V36" s="21" t="inlineStr">
        <is>
          <t>未单列，已含于估算（金额待核实）</t>
        </is>
      </c>
      <c r="W36" s="21" t="inlineStr">
        <is>
          <t>估算</t>
        </is>
      </c>
      <c r="X36" s="21" t="inlineStr">
        <is>
          <t>待核实</t>
        </is>
      </c>
      <c r="Y36" s="21" t="inlineStr">
        <is>
          <t>待核实（主段与内陆/末段须均有数据才显示）</t>
        </is>
      </c>
      <c r="Z36" s="21" t="inlineStr">
        <is>
          <t>空卡（经ALA）</t>
        </is>
      </c>
      <c r="AA36" s="28" t="inlineStr">
        <is>
          <t>背景参考</t>
        </is>
      </c>
      <c r="AB36" s="21" t="inlineStr">
        <is>
          <t>日期待核实</t>
        </is>
      </c>
      <c r="AC36" s="21" t="inlineStr">
        <is>
          <t>2026-10-15</t>
        </is>
      </c>
      <c r="AD36" s="21" t="inlineStr">
        <is>
          <t>不适用（估算值，随基础数据更新）</t>
        </is>
      </c>
      <c r="AE36" s="21" t="inlineStr"/>
      <c r="AF36" s="21" t="inlineStr">
        <is>
          <t>背景参考</t>
        </is>
      </c>
      <c r="AG36" s="21" t="inlineStr">
        <is>
          <t>2026-W41</t>
        </is>
      </c>
      <c r="AH36" s="21" t="inlineStr">
        <is>
          <t>常经ALA；无直达公开指数，邻近枢纽估算</t>
        </is>
      </c>
      <c r="AI36" s="21" t="inlineStr">
        <is>
          <t>常经阿拉木图</t>
        </is>
      </c>
      <c r="AJ36" s="21" t="inlineStr">
        <is>
          <t>公开参考，非可成交价；建议货代实询；用于内部初步预算。对外提供金额前，核对货物条件、费用范围和有效报价。</t>
        </is>
      </c>
      <c r="AK36" s="21" t="inlineStr"/>
    </row>
  </sheetData>
  <autoFilter ref="A1:AK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2" t="inlineStr">
        <is>
          <t>字段</t>
        </is>
      </c>
      <c r="B1" s="12" t="inlineStr">
        <is>
          <t>说明</t>
        </is>
      </c>
    </row>
    <row r="2">
      <c r="A2" t="inlineStr">
        <is>
          <t>大区</t>
        </is>
      </c>
      <c r="B2" t="inlineStr">
        <is>
          <t>欧/亚太/拉美/中东非/独联体</t>
        </is>
      </c>
    </row>
    <row r="3">
      <c r="A3" t="inlineStr">
        <is>
          <t>对应口岸/机场</t>
        </is>
      </c>
      <c r="B3" t="inlineStr">
        <is>
          <t>查公开价用的实际口岸；无直达标经转枢纽</t>
        </is>
      </c>
    </row>
    <row r="4">
      <c r="A4" t="inlineStr">
        <is>
          <t>货型</t>
        </is>
      </c>
      <c r="B4" t="inlineStr">
        <is>
          <t>整机普货 / 整机危险品</t>
        </is>
      </c>
    </row>
    <row r="5">
      <c r="A5" t="inlineStr">
        <is>
          <t>计费单位</t>
        </is>
      </c>
      <c r="B5" t="inlineStr">
        <is>
          <t>空运USD/kg；海运普货USD/CBM；海运危货USD/40'</t>
        </is>
      </c>
    </row>
    <row r="6">
      <c r="A6" t="inlineStr">
        <is>
          <t>参考单价</t>
        </is>
      </c>
      <c r="B6" t="inlineStr">
        <is>
          <t>公开市场参考区间（非可成交价，用于内部初步预算）；无数据则标「待询价」并说明原因</t>
        </is>
      </c>
    </row>
    <row r="7">
      <c r="A7" t="inlineStr">
        <is>
          <t>原末段衔接标签(v1.1)</t>
        </is>
      </c>
      <c r="B7" t="inlineStr">
        <is>
          <t>v1.1 标签，保留备查；v1.2 起以「路径、末段方式、时效边界」三列为准</t>
        </is>
      </c>
    </row>
    <row r="8">
      <c r="A8" t="inlineStr">
        <is>
          <t>销售使用说明</t>
        </is>
      </c>
      <c r="B8" t="inlineStr">
        <is>
          <t>统一提示：用于内部初步预算。对外提供金额前，核对货物条件、费用范围和有效报价</t>
        </is>
      </c>
    </row>
    <row r="9">
      <c r="A9" s="31" t="inlineStr">
        <is>
          <t>价格依据</t>
        </is>
      </c>
      <c r="B9" s="31" t="inlineStr">
        <is>
          <t>公开报价 / 区域指数 / 模型估算 / 待询价</t>
        </is>
      </c>
    </row>
    <row r="10">
      <c r="A10" s="31" t="inlineStr">
        <is>
          <t>估算方法</t>
        </is>
      </c>
      <c r="B10" s="31" t="inlineStr">
        <is>
          <t>仅模型估算行填写：基础数据 + 推算方式</t>
        </is>
      </c>
    </row>
    <row r="11">
      <c r="A11" s="31" t="inlineStr">
        <is>
          <t>价格范围</t>
        </is>
      </c>
      <c r="B11" s="31" t="inlineStr">
        <is>
          <t>价格对应的服务范围：机场到机场 / 港到港 / 到指定城市</t>
        </is>
      </c>
    </row>
    <row r="12">
      <c r="A12" s="31" t="inlineStr">
        <is>
          <t>计费重档</t>
        </is>
      </c>
      <c r="B12" s="31" t="inlineStr">
        <is>
          <t>空运价格对应的重量档；来源未说明填「待确认」</t>
        </is>
      </c>
    </row>
    <row r="13">
      <c r="A13" s="31" t="inlineStr">
        <is>
          <t>柜型</t>
        </is>
      </c>
      <c r="B13" s="31" t="inlineStr">
        <is>
          <t>海运：拼箱 LCL，或整柜 40GP/40HQ；未区分填「待确认」</t>
        </is>
      </c>
    </row>
    <row r="14">
      <c r="A14" s="31" t="inlineStr">
        <is>
          <t>路径</t>
        </is>
      </c>
      <c r="B14" s="31" t="inlineStr">
        <is>
          <t>直达 / 经某机场或港口中转 / 待确认</t>
        </is>
      </c>
    </row>
    <row r="15">
      <c r="A15" s="31" t="inlineStr">
        <is>
          <t>末段方式</t>
        </is>
      </c>
      <c r="B15" s="31" t="inlineStr">
        <is>
          <t>航空 / 卡车 / 铁路 / 无 / 待确认</t>
        </is>
      </c>
    </row>
    <row r="16">
      <c r="A16" s="31" t="inlineStr">
        <is>
          <t>时效边界</t>
        </is>
      </c>
      <c r="B16" s="31" t="inlineStr">
        <is>
          <t>主段时效对应的范围：机场到机场 / 港到港 / 到指定城市</t>
        </is>
      </c>
    </row>
    <row r="17">
      <c r="A17" s="31" t="inlineStr">
        <is>
          <t>内陆/末段费用、时效</t>
        </is>
      </c>
      <c r="B17" s="31" t="inlineStr">
        <is>
          <t>内陆段单列；缺数据填「待核实/待询价」</t>
        </is>
      </c>
    </row>
    <row r="18">
      <c r="A18" s="31" t="inlineStr">
        <is>
          <t>全程</t>
        </is>
      </c>
      <c r="B18" s="31" t="inlineStr">
        <is>
          <t>仅在主段与内陆段均有数据，或目的口岸即目的地时显示</t>
        </is>
      </c>
    </row>
    <row r="19">
      <c r="A19" s="31" t="inlineStr">
        <is>
          <t>记录类型</t>
        </is>
      </c>
      <c r="B19" s="31" t="inlineStr">
        <is>
          <t>当期行情 / 背景参考（年度或未标日期文章）</t>
        </is>
      </c>
    </row>
    <row r="20">
      <c r="A20" s="31" t="inlineStr">
        <is>
          <t>来源发布日期 / 采集日期 / 报价有效期</t>
        </is>
      </c>
      <c r="B20" s="31" t="inlineStr">
        <is>
          <t>逐行填写；有效期已过标「已过期」，数据保留</t>
        </is>
      </c>
    </row>
    <row r="21">
      <c r="A21" s="31" t="inlineStr">
        <is>
          <t>有效状态</t>
        </is>
      </c>
      <c r="B21" s="31" t="inlineStr">
        <is>
          <t>有效 / 背景参考 / 已过期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2" t="inlineStr">
        <is>
          <t>项</t>
        </is>
      </c>
      <c r="B1" s="12" t="inlineStr">
        <is>
          <t>约定</t>
        </is>
      </c>
    </row>
    <row r="2">
      <c r="A2" t="inlineStr">
        <is>
          <t>更新频率</t>
        </is>
      </c>
      <c r="B2" t="inlineStr">
        <is>
          <t>建议每两周刷新公开指数与可查行情</t>
        </is>
      </c>
    </row>
    <row r="3">
      <c r="A3" t="inlineStr">
        <is>
          <t>价格口径</t>
        </is>
      </c>
      <c r="B3" t="inlineStr">
        <is>
          <t>公开市场参考价，不作承诺运价</t>
        </is>
      </c>
    </row>
    <row r="4">
      <c r="A4" t="inlineStr">
        <is>
          <t>空运</t>
        </is>
      </c>
      <c r="B4" t="inlineStr">
        <is>
          <t>按计费重 kg</t>
        </is>
      </c>
    </row>
    <row r="5">
      <c r="A5" t="inlineStr">
        <is>
          <t>海运普货</t>
        </is>
      </c>
      <c r="B5" t="inlineStr">
        <is>
          <t>按 CBM</t>
        </is>
      </c>
    </row>
    <row r="6">
      <c r="A6" t="inlineStr">
        <is>
          <t>海运危货</t>
        </is>
      </c>
      <c r="B6" t="inlineStr">
        <is>
          <t>按柜（优先40'）</t>
        </is>
      </c>
    </row>
    <row r="7">
      <c r="A7" t="inlineStr">
        <is>
          <t>货型</t>
        </is>
      </c>
      <c r="B7" t="inlineStr">
        <is>
          <t>整机普货与整机危险品分列；不单列电池</t>
        </is>
      </c>
    </row>
    <row r="8">
      <c r="A8" t="inlineStr">
        <is>
          <t>缺数处理</t>
        </is>
      </c>
      <c r="B8" t="inlineStr">
        <is>
          <t>无公开数据的一律标「待询价/待核实」，不得编造；无直达公开价时可用邻近枢纽价，须标「模型估算」并写明估算方法。</t>
        </is>
      </c>
    </row>
    <row r="9">
      <c r="A9" t="inlineStr">
        <is>
          <t>巴西内陆</t>
        </is>
      </c>
      <c r="B9" t="inlineStr">
        <is>
          <t>巴西利亚等内陆城市：海运主段=Santos港到港，内陆段单列，无公开价标「待询价」；空运经GRU/VCP，转运段为估算。</t>
        </is>
      </c>
    </row>
    <row r="10">
      <c r="A10" s="2" t="inlineStr">
        <is>
          <t>本版数据</t>
        </is>
      </c>
      <c r="B10" s="13" t="inlineStr">
        <is>
          <t>v1.2（数据周期仍为 2026-W41）：在 v1.1 基础上拆分主段/内陆段、补充重量档与柜型、拆分路径/末段方式/时效边界、增加价格依据与逐行日期字段、增加覆盖矩阵；未新增价格数字或来源。</t>
        </is>
      </c>
    </row>
    <row r="11">
      <c r="A11" s="31" t="inlineStr">
        <is>
          <t>逐行日期</t>
        </is>
      </c>
      <c r="B11" s="31" t="inlineStr">
        <is>
          <t>每次更新每行都要填：来源发布日期、采集日期、报价有效期（有到期日的填到期日）；年度行业文章标「背景参考」。</t>
        </is>
      </c>
    </row>
    <row r="12">
      <c r="A12" s="31" t="inlineStr">
        <is>
          <t>趋势点</t>
        </is>
      </c>
      <c r="B12" s="31" t="inlineStr">
        <is>
          <t>直接公布值与由下一期涨跌额反推的值分开记录（网页实心点/空心点）；有具体文章链接才填，不得使用搜索页代替。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4" t="inlineStr">
        <is>
          <t>步骤/字段</t>
        </is>
      </c>
      <c r="B1" s="14" t="inlineStr">
        <is>
          <t>怎么填</t>
        </is>
      </c>
    </row>
    <row r="2">
      <c r="A2" s="15" t="inlineStr">
        <is>
          <t>1. 先定需求</t>
        </is>
      </c>
      <c r="B2" s="15" t="inlineStr">
        <is>
          <t>销售提出目的城市 + 预计运输方式（空/海）+ 货型（整机普货/整机危险品）</t>
        </is>
      </c>
    </row>
    <row r="3">
      <c r="A3" s="15" t="inlineStr">
        <is>
          <t>2. 大区</t>
        </is>
      </c>
      <c r="B3" s="15" t="inlineStr">
        <is>
          <t>欧 / 亚太 / 拉美 / 中东非 / 独联体（选一）</t>
        </is>
      </c>
    </row>
    <row r="4">
      <c r="A4" s="15" t="inlineStr">
        <is>
          <t>3. 起运地</t>
        </is>
      </c>
      <c r="B4" s="15" t="inlineStr">
        <is>
          <t>上海 / 宁波 / 郑州 / 深圳；能多口岸比价就各建一行</t>
        </is>
      </c>
    </row>
    <row r="5">
      <c r="A5" s="15" t="inlineStr">
        <is>
          <t>4. 起运类型</t>
        </is>
      </c>
      <c r="B5" s="15" t="inlineStr">
        <is>
          <t>港口 或 机场</t>
        </is>
      </c>
    </row>
    <row r="6">
      <c r="A6" s="15" t="inlineStr">
        <is>
          <t>5. 目的城市</t>
        </is>
      </c>
      <c r="B6" s="15" t="inlineStr">
        <is>
          <t>用销售常用中文名，如「马赛」「迪拜」</t>
        </is>
      </c>
    </row>
    <row r="7">
      <c r="A7" s="15" t="inlineStr">
        <is>
          <t>6. 对应口岸/机场</t>
        </is>
      </c>
      <c r="B7" s="15" t="inlineStr">
        <is>
          <t>填可查价的 IATA/港口代码；无直达填「XXX(经枢纽)」</t>
        </is>
      </c>
    </row>
    <row r="8">
      <c r="A8" s="15" t="inlineStr">
        <is>
          <t>7. 运输方式</t>
        </is>
      </c>
      <c r="B8" s="15" t="inlineStr">
        <is>
          <t>空运 / 海运</t>
        </is>
      </c>
    </row>
    <row r="9">
      <c r="A9" s="15" t="inlineStr">
        <is>
          <t>8. 货型</t>
        </is>
      </c>
      <c r="B9" s="15" t="inlineStr">
        <is>
          <t>整机普货 / 整机危险品（分两行，不要合并）</t>
        </is>
      </c>
    </row>
    <row r="10">
      <c r="A10" s="15" t="inlineStr">
        <is>
          <t>9. 计费单位</t>
        </is>
      </c>
      <c r="B10" s="15" t="inlineStr">
        <is>
          <t>空运：USD/kg；海运普货：USD/CBM；海运危货：USD/40'（或20'）</t>
        </is>
      </c>
    </row>
    <row r="11">
      <c r="A11" s="15" t="inlineStr">
        <is>
          <t>10. 路径/末段方式/时效边界</t>
        </is>
      </c>
      <c r="B11" s="15" t="inlineStr">
        <is>
          <t>路径：直达 / 经XX中转 / 待确认；末段方式：航空 / 卡车 / 铁路 / 无；时效边界：机场到机场 / 港到港 / 到指定城市。原「直达/少中转、空卡、海卡」标签填入「原末段衔接标签」列</t>
        </is>
      </c>
    </row>
    <row r="12">
      <c r="A12" s="15" t="inlineStr">
        <is>
          <t>11. 参考单价</t>
        </is>
      </c>
      <c r="B12" s="15" t="inlineStr">
        <is>
          <t>有公开行情再填；没有标「待询价」，勿编造。同时填「价格依据」（公开报价/区域指数/模型估算/待询价）；估算须写估算方法</t>
        </is>
      </c>
    </row>
    <row r="13">
      <c r="A13" s="15" t="inlineStr">
        <is>
          <t>12. 参考时效</t>
        </is>
      </c>
      <c r="B13" s="15" t="inlineStr">
        <is>
          <t>给区间天数，含常见中转</t>
        </is>
      </c>
    </row>
    <row r="14">
      <c r="A14" s="15" t="inlineStr">
        <is>
          <t>13. 数据周期</t>
        </is>
      </c>
      <c r="B14" s="15" t="inlineStr">
        <is>
          <t>如 2026-W42，方便看是否过期</t>
        </is>
      </c>
    </row>
    <row r="15">
      <c r="A15" s="15" t="inlineStr">
        <is>
          <t>14. 数据来源</t>
        </is>
      </c>
      <c r="B15" s="15" t="inlineStr">
        <is>
          <t>写清公开指数/行情名称，便于复查</t>
        </is>
      </c>
    </row>
    <row r="16">
      <c r="A16" s="15" t="inlineStr">
        <is>
          <t>15. 销售使用说明</t>
        </is>
      </c>
      <c r="B16" s="15" t="inlineStr">
        <is>
          <t>统一提示：用于内部初步预算。对外提供金额前，核对货物条件、费用范围和有效报价</t>
        </is>
      </c>
    </row>
    <row r="17">
      <c r="A17" s="15" t="inlineStr">
        <is>
          <t>重复行规则</t>
        </is>
      </c>
      <c r="B17" s="15" t="inlineStr">
        <is>
          <t>同一城市×起运地×运输方式×货型 = 一行；改价只更新该行</t>
        </is>
      </c>
    </row>
    <row r="18">
      <c r="A18" s="15" t="inlineStr">
        <is>
          <t>检索准备</t>
        </is>
      </c>
      <c r="B18" s="15" t="inlineStr">
        <is>
          <t>字段保持上表一致后，可用筛选或后续做网页按城市检索</t>
        </is>
      </c>
    </row>
    <row r="19">
      <c r="A19" s="31" t="inlineStr">
        <is>
          <t>16. 计费重档/柜型</t>
        </is>
      </c>
      <c r="B19" s="31" t="inlineStr">
        <is>
          <t>空运填价格对应重量档及超尺寸适用情况；海运整柜填 40GP/40HQ；不清楚填「待确认」</t>
        </is>
      </c>
    </row>
    <row r="20">
      <c r="A20" s="31" t="inlineStr">
        <is>
          <t>17. 逐行日期</t>
        </is>
      </c>
      <c r="B20" s="31" t="inlineStr">
        <is>
          <t>填来源发布日期、采集日期、报价有效期；年度文章标「背景参考」</t>
        </is>
      </c>
    </row>
    <row r="21">
      <c r="A21" s="31" t="inlineStr">
        <is>
          <t>18. 内陆段</t>
        </is>
      </c>
      <c r="B21" s="31" t="inlineStr">
        <is>
          <t>内陆城市主段与内陆段分开填；无公开价标「待询价」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2" customWidth="1" min="3" max="3"/>
    <col width="18" customWidth="1" min="4" max="4"/>
    <col width="36" customWidth="1" min="5" max="5"/>
    <col width="18" customWidth="1" min="6" max="6"/>
  </cols>
  <sheetData>
    <row r="1">
      <c r="A1" s="1" t="inlineStr">
        <is>
          <t>数据来源明细（便于复查）</t>
        </is>
      </c>
    </row>
    <row r="3">
      <c r="A3" s="16" t="inlineStr">
        <is>
          <t>类型</t>
        </is>
      </c>
      <c r="B3" s="16" t="inlineStr">
        <is>
          <t>指标/来源</t>
        </is>
      </c>
      <c r="C3" s="16" t="inlineStr">
        <is>
          <t>数值摘要</t>
        </is>
      </c>
      <c r="D3" s="16" t="inlineStr">
        <is>
          <t>日期/周期</t>
        </is>
      </c>
      <c r="E3" s="16" t="inlineStr">
        <is>
          <t>URL或出处</t>
        </is>
      </c>
      <c r="F3" s="16" t="inlineStr">
        <is>
          <t>用途</t>
        </is>
      </c>
    </row>
    <row r="4">
      <c r="A4" s="11" t="inlineStr">
        <is>
          <t>海运指数</t>
        </is>
      </c>
      <c r="B4" s="11" t="inlineStr">
        <is>
          <t>SCFI 欧洲40'</t>
        </is>
      </c>
      <c r="C4" s="11" t="inlineStr">
        <is>
          <t>USD 3,455/FEU</t>
        </is>
      </c>
      <c r="D4" s="11" t="inlineStr">
        <is>
          <t>2026-10-09</t>
        </is>
      </c>
      <c r="E4" s="11" t="inlineStr">
        <is>
          <t>工商时报转引上海航交所 / sse.net.cn</t>
        </is>
      </c>
      <c r="F4" s="11" t="inlineStr">
        <is>
          <t>欧线FCL底价、危柜推算</t>
        </is>
      </c>
    </row>
    <row r="5">
      <c r="A5" s="11" t="inlineStr">
        <is>
          <t>海运指数</t>
        </is>
      </c>
      <c r="B5" s="11" t="inlineStr">
        <is>
          <t>SCFI 地中海40'</t>
        </is>
      </c>
      <c r="C5" s="11" t="inlineStr">
        <is>
          <t>USD 3,790/FEU</t>
        </is>
      </c>
      <c r="D5" s="11" t="inlineStr">
        <is>
          <t>2026-10-09</t>
        </is>
      </c>
      <c r="E5" s="11" t="inlineStr">
        <is>
          <t>同上</t>
        </is>
      </c>
      <c r="F5" s="11" t="inlineStr">
        <is>
          <t>地中海FCL底价</t>
        </is>
      </c>
    </row>
    <row r="6">
      <c r="A6" s="11" t="inlineStr">
        <is>
          <t>海运指数</t>
        </is>
      </c>
      <c r="B6" s="11" t="inlineStr">
        <is>
          <t>SCFI 综合</t>
        </is>
      </c>
      <c r="C6" s="11" t="inlineStr">
        <is>
          <t>3,664.11点</t>
        </is>
      </c>
      <c r="D6" s="11" t="inlineStr">
        <is>
          <t>2026-10-09</t>
        </is>
      </c>
      <c r="E6" s="11" t="inlineStr">
        <is>
          <t>Container News / 工商时报</t>
        </is>
      </c>
      <c r="F6" s="11" t="inlineStr">
        <is>
          <t>市场情绪</t>
        </is>
      </c>
    </row>
    <row r="7">
      <c r="A7" s="11" t="inlineStr">
        <is>
          <t>海运指数</t>
        </is>
      </c>
      <c r="B7" s="11" t="inlineStr">
        <is>
          <t>SCFI 东南亚TEU（新加坡）</t>
        </is>
      </c>
      <c r="C7" s="11" t="inlineStr">
        <is>
          <t>约 USD 1,171/TEU</t>
        </is>
      </c>
      <c r="D7" s="11" t="inlineStr">
        <is>
          <t>2026-09-30</t>
        </is>
      </c>
      <c r="E7" s="11" t="inlineStr">
        <is>
          <t>行业周报转引SCFI</t>
        </is>
      </c>
      <c r="F7" s="11" t="inlineStr">
        <is>
          <t>东南亚FCL对照</t>
        </is>
      </c>
    </row>
    <row r="8">
      <c r="A8" s="11" t="inlineStr">
        <is>
          <t>空运指数</t>
        </is>
      </c>
      <c r="B8" s="11" t="inlineStr">
        <is>
          <t>Freightos FAX Greater China→Europe</t>
        </is>
      </c>
      <c r="C8" s="11" t="inlineStr">
        <is>
          <t>USD 4.71/kg</t>
        </is>
      </c>
      <c r="D8" s="11" t="inlineStr">
        <is>
          <t>约2026-10（页面当期）</t>
        </is>
      </c>
      <c r="E8" s="11" t="inlineStr">
        <is>
          <t>freightos.com FAX CN-EU</t>
        </is>
      </c>
      <c r="F8" s="11" t="inlineStr">
        <is>
          <t>欧线空运底价</t>
        </is>
      </c>
    </row>
    <row r="9">
      <c r="A9" s="11" t="inlineStr">
        <is>
          <t>空运指数</t>
        </is>
      </c>
      <c r="B9" s="11" t="inlineStr">
        <is>
          <t>Freightos FAX Greater China→Middle East</t>
        </is>
      </c>
      <c r="C9" s="11" t="inlineStr">
        <is>
          <t>USD 3.68/kg</t>
        </is>
      </c>
      <c r="D9" s="11" t="inlineStr">
        <is>
          <t>约2026-10（页面当期）</t>
        </is>
      </c>
      <c r="E9" s="11" t="inlineStr">
        <is>
          <t>freightos.com FAX CN-ME</t>
        </is>
      </c>
      <c r="F9" s="11" t="inlineStr">
        <is>
          <t>中东空运底价</t>
        </is>
      </c>
    </row>
    <row r="10">
      <c r="A10" s="11" t="inlineStr">
        <is>
          <t>空运指数</t>
        </is>
      </c>
      <c r="B10" s="11" t="inlineStr">
        <is>
          <t>TAC/Baltic BAI80 Shanghai outbound</t>
        </is>
      </c>
      <c r="C10" s="11" t="inlineStr">
        <is>
          <t>5,352（指数点）周降2.1%</t>
        </is>
      </c>
      <c r="D10" s="11" t="inlineStr">
        <is>
          <t>2026-10-12</t>
        </is>
      </c>
      <c r="E10" s="11" t="inlineStr">
        <is>
          <t>dashboard.tacindex.com / Air Cargo News</t>
        </is>
      </c>
      <c r="F10" s="11" t="inlineStr">
        <is>
          <t>上海出港景气</t>
        </is>
      </c>
    </row>
    <row r="11">
      <c r="A11" s="11" t="inlineStr">
        <is>
          <t>空运牌价</t>
        </is>
      </c>
      <c r="B11" s="11" t="inlineStr">
        <is>
          <t>Seabay PVG→欧洲多点</t>
        </is>
      </c>
      <c r="C11" s="11" t="inlineStr">
        <is>
          <t>约 5.4–6.9 USD/kg（100–1000kg）</t>
        </is>
      </c>
      <c r="D11" s="11" t="inlineStr">
        <is>
          <t>2026-10-10</t>
        </is>
      </c>
      <c r="E11" s="11" t="inlineStr">
        <is>
          <t>seabaycargo.com</t>
        </is>
      </c>
      <c r="F11" s="11" t="inlineStr">
        <is>
          <t>欧线牌价上沿</t>
        </is>
      </c>
    </row>
    <row r="12">
      <c r="A12" s="11" t="inlineStr">
        <is>
          <t>空运牌价</t>
        </is>
      </c>
      <c r="B12" s="11" t="inlineStr">
        <is>
          <t>Seabay PVG/SZX→DWC</t>
        </is>
      </c>
      <c r="C12" s="11" t="inlineStr">
        <is>
          <t>约 5.2–6.6 USD/kg</t>
        </is>
      </c>
      <c r="D12" s="11" t="inlineStr">
        <is>
          <t>2026-10-19/21</t>
        </is>
      </c>
      <c r="E12" s="11" t="inlineStr">
        <is>
          <t>seabaycargo.com Dubai DWC</t>
        </is>
      </c>
      <c r="F12" s="11" t="inlineStr">
        <is>
          <t>迪拜牌价</t>
        </is>
      </c>
    </row>
    <row r="13">
      <c r="A13" s="11" t="inlineStr">
        <is>
          <t>空运综合</t>
        </is>
      </c>
      <c r="B13" s="11" t="inlineStr">
        <is>
          <t>BSI China→World指南</t>
        </is>
      </c>
      <c r="C13" s="11" t="inlineStr">
        <is>
          <t>欧5.86–6.60；中东5.57–6.30；南美8.50–9.24；东南亚1.76–4.10；非8.06–8.80</t>
        </is>
      </c>
      <c r="D13" s="11" t="inlineStr">
        <is>
          <t>标注2026年更新</t>
        </is>
      </c>
      <c r="E13" s="11" t="inlineStr">
        <is>
          <t>bsifreight.com</t>
        </is>
      </c>
      <c r="F13" s="11" t="inlineStr">
        <is>
          <t>大区区间补充</t>
        </is>
      </c>
    </row>
    <row r="14">
      <c r="A14" s="11" t="inlineStr">
        <is>
          <t>海运LCL</t>
        </is>
      </c>
      <c r="B14" s="11" t="inlineStr">
        <is>
          <t>公开欧线拼箱参考</t>
        </is>
      </c>
      <c r="C14" s="11" t="inlineStr">
        <is>
          <t>约 80–165 USD/CBM（港别不同）</t>
        </is>
      </c>
      <c r="D14" s="11" t="inlineStr">
        <is>
          <t>2026年行业文</t>
        </is>
      </c>
      <c r="E14" s="11" t="inlineStr">
        <is>
          <t>shipsbd等公开文</t>
        </is>
      </c>
      <c r="F14" s="11" t="inlineStr">
        <is>
          <t>海运普货CBM</t>
        </is>
      </c>
    </row>
    <row r="15">
      <c r="A15" s="11" t="inlineStr">
        <is>
          <t>海运LCL</t>
        </is>
      </c>
      <c r="B15" s="11" t="inlineStr">
        <is>
          <t>东南亚短程LCL</t>
        </is>
      </c>
      <c r="C15" s="11" t="inlineStr">
        <is>
          <t>越南15–35；泰25–45；马20–40；印尼30–60 USD/CBM</t>
        </is>
      </c>
      <c r="D15" s="11" t="inlineStr">
        <is>
          <t>公开费率表</t>
        </is>
      </c>
      <c r="E15" s="11" t="inlineStr">
        <is>
          <t>seafreightgo.com</t>
        </is>
      </c>
      <c r="F15" s="11" t="inlineStr">
        <is>
          <t>亚太LCL</t>
        </is>
      </c>
    </row>
    <row r="16">
      <c r="A16" s="11" t="inlineStr">
        <is>
          <t>危品</t>
        </is>
      </c>
      <c r="B16" s="11" t="inlineStr">
        <is>
          <t>DG海运附加费行业说明</t>
        </is>
      </c>
      <c r="C16" s="11" t="inlineStr">
        <is>
          <t>常见+20%～40%或按柜加收数百美元级</t>
        </is>
      </c>
      <c r="D16" s="11" t="inlineStr">
        <is>
          <t>2026行业指南</t>
        </is>
      </c>
      <c r="E16" s="11" t="inlineStr">
        <is>
          <t>货代/船司危品说明</t>
        </is>
      </c>
      <c r="F16" s="11" t="inlineStr">
        <is>
          <t>危柜行推算</t>
        </is>
      </c>
    </row>
    <row r="17">
      <c r="A17" s="11" t="inlineStr">
        <is>
          <t>空运牌价</t>
        </is>
      </c>
      <c r="B17" s="11" t="inlineStr">
        <is>
          <t>Seabay PVG/SZX/CGO→GRU</t>
        </is>
      </c>
      <c r="C17" s="11" t="inlineStr">
        <is>
          <t>TK/QR/O3约10.3–11.8；UA约7.1–8.6 USD/kg（100–300kg）</t>
        </is>
      </c>
      <c r="D17" s="11" t="inlineStr">
        <is>
          <t>2026-10-16～10-21（报价到期日）</t>
        </is>
      </c>
      <c r="E17" s="11" t="inlineStr">
        <is>
          <t>seabaycargo.com/air-freight/Sao Paulo-GRU.html</t>
        </is>
      </c>
      <c r="F17" s="11" t="inlineStr">
        <is>
          <t>圣保罗/巴西利亚空运</t>
        </is>
      </c>
    </row>
    <row r="18">
      <c r="A18" s="11" t="inlineStr">
        <is>
          <t>空运综合</t>
        </is>
      </c>
      <c r="B18" s="11" t="inlineStr">
        <is>
          <t>Sino-Shipping 中国→巴西10月</t>
        </is>
      </c>
      <c r="C18" s="11" t="inlineStr">
        <is>
          <t>空运≥1000kg≈10.2 USD/kg；LCL≈90/CBM；40GP Santos 5,490–6,710</t>
        </is>
      </c>
      <c r="D18" s="11" t="inlineStr">
        <is>
          <t>2026-10</t>
        </is>
      </c>
      <c r="E18" s="11" t="inlineStr">
        <is>
          <t>sino-shipping.com/country-guides/freight-from-china-to-brazil/</t>
        </is>
      </c>
      <c r="F18" s="11" t="inlineStr">
        <is>
          <t>Santos海运/空运交叉验证</t>
        </is>
      </c>
    </row>
    <row r="19" ht="20" customHeight="1">
      <c r="A19" s="11" t="inlineStr">
        <is>
          <t>海运LCL</t>
        </is>
      </c>
    </row>
    <row r="20" ht="20" customHeight="1">
      <c r="A20" s="11" t="inlineStr">
        <is>
          <t>海运指数</t>
        </is>
      </c>
    </row>
    <row r="21" ht="20" customHeight="1">
      <c r="A21" s="11" t="inlineStr">
        <is>
          <t>海运报价</t>
        </is>
      </c>
    </row>
    <row r="22" ht="20" customHeight="1"/>
    <row r="23" ht="20" customHeight="1">
      <c r="A23" s="17" t="inlineStr">
        <is>
          <t>缺口说明</t>
        </is>
      </c>
    </row>
    <row r="24" ht="34" customHeight="1">
      <c r="A24" s="19" t="inlineStr">
        <is>
          <t>1. 黑山/波黑/比什凯克/阿斯塔纳等偏线：无独立公开指数，表中为邻近枢纽推算，不确定性高于干线。</t>
        </is>
      </c>
    </row>
    <row r="25" ht="34" customHeight="1">
      <c r="A25" s="19" t="inlineStr">
        <is>
          <t>2. 突尼斯危货货机：公开牌价极少，9–13为「非洲普货+货机危货溢价」示意，谈判前必须实询。</t>
        </is>
      </c>
    </row>
    <row r="26" ht="34" customHeight="1">
      <c r="A26" s="19" t="inlineStr">
        <is>
          <t>3. 南美西岸LCL与危柜：公开连续报价少，区间宽；SCFI南美子航线波动大；Santos LCL来源间差异大（90～380）。</t>
        </is>
      </c>
    </row>
    <row r="27" ht="34" customHeight="1">
      <c r="A27" s="19" t="inlineStr">
        <is>
          <t>4. 巴西利亚：内陆城市，无PVG→BSB公开牌价；空运为GRU价+转运推算，海运仅Santos港到港，内陆拖运（含危货）无公开价；SCFI Santos 10-09官网数值未能提取，用9/30及周报替代。</t>
        </is>
      </c>
    </row>
    <row r="28" ht="34" customHeight="1">
      <c r="A28" s="19" t="inlineStr">
        <is>
          <t>5. FAX为滚动全货重段指数，Seabay为即期牌价，二者不可直接等同，故空运多用区间。</t>
        </is>
      </c>
    </row>
    <row r="29" ht="34" customHeight="1">
      <c r="A29" s="19" t="inlineStr">
        <is>
          <t>6. 本版无「待询价」单价行；偏线以推算区间代替，并在销售使用说明中标明须实询。</t>
        </is>
      </c>
    </row>
    <row r="30">
      <c r="A30" s="18" t="inlineStr">
        <is>
          <t>7. 逐行来源发布日期与报价有效期：除 SCFI（2026-10-09）、SCFI 南美（2026-09-30）、Seabay 牌价到期日外，多数来源发布日期待核实。</t>
        </is>
      </c>
    </row>
    <row r="31">
      <c r="A31" s="18" t="inlineStr">
        <is>
          <t>8. 重量档与柜型：空运多数来源未说明是否适用超尺寸/不可堆叠整机；整柜 SCFI 未区分 40GP/40HQ，均标「待确认」。</t>
        </is>
      </c>
    </row>
    <row r="32">
      <c r="A32" s="18" t="inlineStr">
        <is>
          <t>9. 趋势图逐点出处：目前仅少数点有具体文章链接，其余未能逐点核对，不使用搜索页代替。</t>
        </is>
      </c>
    </row>
    <row r="33">
      <c r="A33" s="18" t="inlineStr">
        <is>
          <t>10. 巴西利亚内陆段（含危险品运输资质）无公开价，标「待询价」。</t>
        </is>
      </c>
    </row>
    <row r="34">
      <c r="A34" s="18" t="inlineStr">
        <is>
          <t>11. 年度/未标日期的行业文章（BSI 指南、LCL 费率文等）仅作「背景参考」，不代表本期运价。</t>
        </is>
      </c>
    </row>
  </sheetData>
  <mergeCells count="6">
    <mergeCell ref="A24:F24"/>
    <mergeCell ref="A28:F28"/>
    <mergeCell ref="A27:F27"/>
    <mergeCell ref="A26:F26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2026-10-15T08:32:42Z</dcterms:created>
  <dcterms:modified xmlns:dcterms="http://purl.org/dc/terms/" xmlns:xsi="http://www.w3.org/2001/XMLSchema-instance" xsi:type="dcterms:W3CDTF">2026-10-15T12:38:37Z</dcterms:modified>
</cp:coreProperties>
</file>